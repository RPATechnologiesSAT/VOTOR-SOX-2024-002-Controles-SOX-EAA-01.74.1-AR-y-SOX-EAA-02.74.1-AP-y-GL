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DF8BEF9B-F106-4F96-BA7C-5DAAF26D0E1B}" xr6:coauthVersionLast="47" xr6:coauthVersionMax="47" xr10:uidLastSave="{00000000-0000-0000-0000-000000000000}"/>
  <bookViews>
    <workbookView xWindow="-120" yWindow="-120" windowWidth="28650" windowHeight="13305" tabRatio="791" firstSheet="4" activeTab="9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'Clearings'!$B$5:$AM$6</definedName>
    <definedName name="ExternalData_1" localSheetId="11" hidden="1">Sample_AR!$B$5:$M$6</definedName>
    <definedName name="ExternalData_1" localSheetId="4" hidden="1">To_Analyze!$B$5:$M$6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N6" i="12"/>
  <c r="D17" i="3"/>
  <c r="E17" i="3"/>
  <c r="D22" i="3"/>
  <c r="E22" i="3"/>
  <c r="D23" i="3" l="1"/>
  <c r="D24" i="3"/>
  <c r="D25" i="3"/>
  <c r="D26" i="3"/>
  <c r="E23" i="3"/>
  <c r="E24" i="3"/>
  <c r="E25" i="3"/>
  <c r="E26" i="3"/>
  <c r="D13" i="3"/>
  <c r="D14" i="3"/>
  <c r="D15" i="3"/>
  <c r="D16" i="3"/>
  <c r="D18" i="3"/>
  <c r="D19" i="3"/>
  <c r="D20" i="3"/>
  <c r="D21" i="3"/>
  <c r="E13" i="3"/>
  <c r="E14" i="3"/>
  <c r="E15" i="3"/>
  <c r="E16" i="3"/>
  <c r="E18" i="3"/>
  <c r="E19" i="3"/>
  <c r="E20" i="3"/>
  <c r="E21" i="3"/>
  <c r="D8" i="3" l="1"/>
  <c r="D9" i="3"/>
  <c r="D10" i="3"/>
  <c r="D11" i="3"/>
  <c r="D12" i="3"/>
  <c r="E8" i="3"/>
  <c r="E9" i="3"/>
  <c r="E10" i="3"/>
  <c r="E11" i="3"/>
  <c r="E12" i="3"/>
  <c r="D5" i="3"/>
  <c r="D6" i="3"/>
  <c r="D7" i="3"/>
  <c r="E5" i="3"/>
  <c r="E6" i="3"/>
  <c r="E7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3" l="1"/>
  <c r="H7" i="9" s="1"/>
  <c r="M7" i="9" s="1"/>
  <c r="N7" i="9" s="1"/>
  <c r="M3" i="14"/>
  <c r="H8" i="9" s="1"/>
  <c r="M8" i="9" s="1"/>
  <c r="N8" i="9" s="1"/>
  <c r="C9" i="9"/>
  <c r="D7" i="9" s="1"/>
  <c r="I7" i="9" l="1"/>
  <c r="H9" i="9"/>
  <c r="H11" i="9" s="1"/>
  <c r="I8" i="9"/>
  <c r="D8" i="9"/>
  <c r="M9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I9" i="9"/>
  <c r="E9" i="9"/>
  <c r="F8" i="9" s="1"/>
  <c r="O7" i="9"/>
  <c r="P7" i="9" s="1"/>
  <c r="M11" i="9"/>
  <c r="N9" i="9"/>
  <c r="K7" i="9"/>
  <c r="C3" i="12"/>
  <c r="C6" i="9" s="1"/>
  <c r="C11" i="9" s="1"/>
  <c r="C13" i="9" s="1"/>
  <c r="M3" i="12"/>
  <c r="E6" i="9" s="1"/>
  <c r="N5" i="13"/>
  <c r="M5" i="14"/>
  <c r="N5" i="14" l="1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<sst xmlns="http://schemas.openxmlformats.org/spreadsheetml/2006/main" count="306" uniqueCount="101">
  <si>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</si>
  <si>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</si>
  <si>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</si>
  <si>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</si>
  <si>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</si>
  <si>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</si>
  <si>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</si>
  <si>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</si>
  <si>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</si>
  <si>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</si>
  <si>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</si>
  <si>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</si>
  <si>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</si>
  <si>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</si>
  <si>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</si>
  <si>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</si>
  <si>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</si>
  <si>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</si>
  <si>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</si>
  <si>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</si>
  <si>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</si>
  <si>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</si>
  <si>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</si>
  <si>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</si>
  <si>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</si>
  <si>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</si>
  <si>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</si>
  <si>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</si>
  <si>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</si>
  <si>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</si>
  <si>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</si>
  <si>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</si>
  <si>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</si>
  <si>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</si>
  <si>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</si>
  <si>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</si>
  <si>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</si>
  <si>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</si>
  <si>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</si>
  <si>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</si>
  <si>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</si>
  <si>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</si>
  <si>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</si>
  <si>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</si>
  <si>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</si>
  <si>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</si>
  <si>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</si>
  <si>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</si>
  <si>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</si>
  <si>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</si>
  <si>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</si>
  <si>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</si>
  <si>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</si>
  <si>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</si>
  <si>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</si>
  <si>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</si>
  <si>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</si>
  <si>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</si>
  <si>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</si>
  <si>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</si>
  <si>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</si>
  <si>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</si>
  <si>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</si>
  <si>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MD</t>
  </si>
  <si>
    <t>AB</t>
  </si>
  <si>
    <t>---</t>
  </si>
  <si>
    <t>Sample Criteria:</t>
  </si>
  <si>
    <t>Clearing total Debit/Credit is higher than:</t>
  </si>
  <si>
    <r>
      <t xml:space="preserve">Supplier &amp; GL Clearings </t>
    </r>
    <r>
      <rPr>
        <sz val="9"/>
        <color theme="1"/>
        <rFont val="Arial"/>
        <family val="2"/>
      </rPr>
      <t>(Doc Types AB and ZV)</t>
    </r>
  </si>
  <si>
    <r>
      <t xml:space="preserve">Customer Clearings </t>
    </r>
    <r>
      <rPr>
        <sz val="9"/>
        <color theme="1"/>
        <rFont val="Arial"/>
        <family val="2"/>
      </rPr>
      <t>(Doc Type 4)</t>
    </r>
  </si>
  <si>
    <t>MM-YYYY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</si>
  <si>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</si>
  <si>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</si>
  <si>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</si>
  <si>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</si>
  <si>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0051414009</t>
  </si>
  <si>
    <t>0051414002</t>
  </si>
  <si>
    <t>0044110000</t>
  </si>
  <si>
    <t>0034880000</t>
  </si>
  <si>
    <t>0034210000</t>
  </si>
  <si>
    <t>0034240000</t>
  </si>
  <si>
    <t>0034211000</t>
  </si>
  <si>
    <t>0044210000</t>
  </si>
  <si>
    <t>0034110000</t>
  </si>
  <si>
    <t>0044150000</t>
  </si>
  <si>
    <t>0044151000</t>
  </si>
  <si>
    <t>0051410409</t>
  </si>
  <si>
    <t>0051411002</t>
  </si>
  <si>
    <t>0051411003</t>
  </si>
  <si>
    <t>0051412009</t>
  </si>
  <si>
    <t>0051412019</t>
  </si>
  <si>
    <t>0051414003</t>
  </si>
  <si>
    <t>0090199999</t>
  </si>
  <si>
    <t>0090299999</t>
  </si>
  <si>
    <t>0090599999</t>
  </si>
  <si>
    <t>0090699999</t>
  </si>
  <si>
    <t>0051411009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</si>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</sst>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1" fillId="0" borderId="0"/>
  </cellStyleXfs>
  <cellXfs count="158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164" fontId="2" fillId="0" borderId="4" xfId="0" applyNumberFormat="1" applyFont="1" applyBorder="1"/>
    <xf numFmtId="0" fontId="18" fillId="18" borderId="7" xfId="0" applyFont="1" applyFill="1" applyBorder="1"/>
    <xf numFmtId="164" fontId="19" fillId="12" borderId="38" xfId="0" applyNumberFormat="1" applyFont="1" applyFill="1" applyBorder="1"/>
    <xf numFmtId="0" fontId="19" fillId="12" borderId="9" xfId="0" applyFont="1" applyFill="1" applyBorder="1" applyAlignment="1">
      <alignment horizontal="center"/>
    </xf>
    <xf numFmtId="0" fontId="8" fillId="6" borderId="0" xfId="0" applyFont="1" applyFill="1"/>
    <xf numFmtId="0" fontId="20" fillId="0" borderId="1" xfId="0" applyFont="1" applyBorder="1"/>
    <xf numFmtId="2" fontId="2" fillId="0" borderId="4" xfId="0" applyNumberFormat="1" applyFont="1" applyBorder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quotePrefix="1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/>
  </cellXfs>
  <cellStyles count="3">
    <cellStyle name="Normal" xfId="0" builtinId="0"/>
    <cellStyle name="Normal 2" xfId="2" xr:uid="{5BD14C04-84C6-42BE-A6C5-BA530F064655}"/>
    <cellStyle name="Percent" xfId="1" builtinId="5"/>
  </cellStyles>
  <dxfs count="243"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auto="1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2" dataDxfId="240" headerRowBorderDxfId="241" tableBorderDxfId="239" totalsRowBorderDxfId="238">
  <autoFilter ref="B4:AM5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19" xr3:uid="{5C7046DD-9F9D-4832-93E9-8B82B4760F9E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26" totalsRowShown="0" headerRowDxfId="199">
  <autoFilter ref="B3:E26" xr:uid="{1614D3BB-F78A-4141-85F7-658122C2B5F0}"/>
  <sortState xmlns:xlrd2="http://schemas.microsoft.com/office/spreadsheetml/2017/richdata2" ref="B4:E26">
    <sortCondition ref="D3:D26"/>
  </sortState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35"/>
    <tableColumn id="2" xr3:uid="{BE7C02FE-A5D1-41DA-90D1-A1BE76CA7855}" uniqueName="2" name="Type + G/L Acc" queryTableFieldId="2" dataDxfId="34"/>
    <tableColumn id="3" xr3:uid="{140FA074-77A6-4725-B841-12B106C315A2}" uniqueName="3" name="Type + TCode + Co + Doc N" queryTableFieldId="3" dataDxfId="33"/>
    <tableColumn id="4" xr3:uid="{4EE114A8-7399-4516-8FD3-C5B841B001C5}" uniqueName="4" name="CoCd" queryTableFieldId="4" dataDxfId="32"/>
    <tableColumn id="5" xr3:uid="{600B3FDB-DC9A-4A55-87ED-1CD3AEEE2204}" uniqueName="5" name="Manager" queryTableFieldId="5" dataDxfId="31"/>
    <tableColumn id="6" xr3:uid="{85B18274-51FC-4493-A887-D14210EF765E}" uniqueName="6" name="User" queryTableFieldId="6" dataDxfId="30"/>
    <tableColumn id="7" xr3:uid="{148C64CE-5136-403B-BA82-57D6D8C78DB1}" uniqueName="7" name="TCode" queryTableFieldId="7" dataDxfId="29"/>
    <tableColumn id="8" xr3:uid="{C22E0312-1AC3-4FC1-9615-A0F8373627C0}" uniqueName="8" name="Text" queryTableFieldId="8" dataDxfId="28"/>
    <tableColumn id="9" xr3:uid="{1A859F5A-E9C9-4DF7-9D98-DA5BF66F771D}" uniqueName="9" name="Type" queryTableFieldId="9" dataDxfId="27"/>
    <tableColumn id="10" xr3:uid="{0C16A6B9-77EF-4196-89AB-C905D748E91C}" uniqueName="10" name="Document Descr." queryTableFieldId="10" dataDxfId="26"/>
    <tableColumn id="11" xr3:uid="{07387BFF-680D-4D06-85B3-93A577E7BD6A}" uniqueName="11" name="DocumentNo" queryTableFieldId="11" dataDxfId="25"/>
    <tableColumn id="12" xr3:uid="{953E660F-B95F-43CF-A918-D955CF15331C}" uniqueName="12" name="Doc. Date" queryTableFieldId="12" dataDxfId="24"/>
    <tableColumn id="13" xr3:uid="{6455015D-BF65-4B75-8475-AFE84EA7B942}" uniqueName="13" name="Entry date" queryTableFieldId="13" dataDxfId="23"/>
    <tableColumn id="14" xr3:uid="{96C653E8-0E64-4739-9905-27F86560FB45}" uniqueName="14" name="Effect date" queryTableFieldId="14" dataDxfId="22"/>
    <tableColumn id="15" xr3:uid="{9D66D605-EBD5-406D-BB32-636EA102C6CE}" uniqueName="15" name="Doc.Header Text" queryTableFieldId="15" dataDxfId="21"/>
    <tableColumn id="16" xr3:uid="{7AB97F24-365A-4F92-AF95-A4B93BA694A2}" uniqueName="16" name="Reference" queryTableFieldId="16" dataDxfId="20"/>
    <tableColumn id="17" xr3:uid="{01C74F12-4DF7-4548-9A94-482D00FF6D34}" uniqueName="17" name="Sess. Name" queryTableFieldId="17" dataDxfId="19"/>
    <tableColumn id="18" xr3:uid="{367B793C-C468-48F2-B9A7-A266875B043A}" uniqueName="18" name="Total Deb./Cred." queryTableFieldId="18" dataDxfId="18"/>
    <tableColumn id="19" xr3:uid="{E004D71C-50EE-4337-A452-62AA46111D95}" uniqueName="19" name="Total Deb./Cred.(ML3" queryTableFieldId="19" dataDxfId="17"/>
    <tableColumn id="20" xr3:uid="{B8ABA870-2972-4C57-87C2-932D990539DD}" uniqueName="20" name="Itm" queryTableFieldId="20" dataDxfId="16"/>
    <tableColumn id="21" xr3:uid="{C3F122CB-C29C-4A65-8471-BBBCDFD48E83}" uniqueName="21" name="PK" queryTableFieldId="21" dataDxfId="15"/>
    <tableColumn id="22" xr3:uid="{FAAB998E-1AE5-4134-BC6D-5365AEAB4887}" uniqueName="22" name="CME" queryTableFieldId="22" dataDxfId="14"/>
    <tableColumn id="23" xr3:uid="{787CEAF0-4551-4D4D-A4C1-8154A28981F1}" uniqueName="23" name="G/L Account" queryTableFieldId="23" dataDxfId="13"/>
    <tableColumn id="24" xr3:uid="{66B24793-E328-40C2-8448-1EBE23FA9228}" uniqueName="24" name="G/L Account Descr." queryTableFieldId="24" dataDxfId="12"/>
    <tableColumn id="25" xr3:uid="{B940B77C-96A1-4437-B11A-C3DEA0A5C49B}" uniqueName="25" name="   Debit amount" queryTableFieldId="25" dataDxfId="11"/>
    <tableColumn id="26" xr3:uid="{377192F0-D1A1-42E0-8BE2-6C4294705549}" uniqueName="26" name="Debit amount(ML3)" queryTableFieldId="26" dataDxfId="10"/>
    <tableColumn id="27" xr3:uid="{A1F4F420-EBED-4FA7-B405-1A8301C86771}" uniqueName="27" name="  Credit amount" queryTableFieldId="27" dataDxfId="9"/>
    <tableColumn id="28" xr3:uid="{607917B4-551A-4A53-87FC-89CC2D9DF34E}" uniqueName="28" name="Credit amount(ML3)" queryTableFieldId="28" dataDxfId="8"/>
    <tableColumn id="29" xr3:uid="{33FD47AB-EB01-4A70-B80E-31D2FF1DCA1C}" uniqueName="29" name="Line Comment" queryTableFieldId="29" dataDxfId="7"/>
    <tableColumn id="30" xr3:uid="{88C9430E-0491-47B0-B63C-361FB75C05E7}" uniqueName="30" name="BARCODE" queryTableFieldId="30" dataDxfId="6"/>
    <tableColumn id="31" xr3:uid="{AAF9AD49-F067-45D0-97B7-833F7CBFC6EA}" uniqueName="31" name="Cost Ctr" queryTableFieldId="31" dataDxfId="5"/>
    <tableColumn id="32" xr3:uid="{EDEAF1E1-DD01-4A68-B03D-08DD04833380}" uniqueName="32" name="Profit Ctr" queryTableFieldId="32" dataDxfId="4"/>
    <tableColumn id="33" xr3:uid="{9F399E1C-C1CF-453C-97C3-4494D18456A3}" uniqueName="33" name="Order" queryTableFieldId="33" dataDxfId="3"/>
    <tableColumn id="34" xr3:uid="{24B15250-BE6D-48AD-A01F-DF84A1E08940}" uniqueName="34" name="Cost Ctr Desc." queryTableFieldId="34" dataDxfId="2"/>
    <tableColumn id="35" xr3:uid="{1742526A-C13D-4191-836C-0B8597169DFA}" uniqueName="35" name="Profit Ctr Desc" queryTableFieldId="35" dataDxfId="1"/>
    <tableColumn id="36" xr3:uid="{916267C2-908B-407C-809B-CE09948C6EBE}" uniqueName="36" name="Order Desc." queryTableFieldId="36" dataDxfId="0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90" dataDxfId="188" headerRowBorderDxfId="189" tableBorderDxfId="187">
  <autoFilter ref="B5:M6" xr:uid="{958BDE0C-3B01-45F3-A9C7-EE519B8E2162}"/>
  <tableColumns count="12">
    <tableColumn id="1" xr3:uid="{691409F7-D3EE-4837-9F61-B2BE5DCC04D2}" uniqueName="1" name="Tier" queryTableFieldId="1" dataDxfId="186"/>
    <tableColumn id="2" xr3:uid="{A1DF3D26-0C17-4B53-8C01-82043FF95C1B}" uniqueName="2" name="Type + TCode + Co + Doc N" queryTableFieldId="2" dataDxfId="185"/>
    <tableColumn id="3" xr3:uid="{6970765E-153A-4F32-B7AA-269948D4A746}" uniqueName="3" name="CoCd" queryTableFieldId="3" dataDxfId="184"/>
    <tableColumn id="4" xr3:uid="{971ACAE9-4442-4F04-AAF4-2B0DFCF69861}" uniqueName="4" name="Manager" queryTableFieldId="4" dataDxfId="183"/>
    <tableColumn id="5" xr3:uid="{9275B5F8-F89C-4EDC-8163-E8AAF87767E9}" uniqueName="5" name="User" queryTableFieldId="5" dataDxfId="182"/>
    <tableColumn id="6" xr3:uid="{9594C496-4363-4040-9E43-189BDF881D7E}" uniqueName="6" name="TCode" queryTableFieldId="6" dataDxfId="181"/>
    <tableColumn id="7" xr3:uid="{1ECE3D88-71E8-4567-B005-BE91EA00FFC9}" uniqueName="7" name="Text" queryTableFieldId="7" dataDxfId="180"/>
    <tableColumn id="8" xr3:uid="{12041F88-110D-48AD-96FF-525011058C41}" uniqueName="8" name="Type" queryTableFieldId="8" dataDxfId="179"/>
    <tableColumn id="9" xr3:uid="{36AA9291-0362-4190-B996-AED6CCBEDB2C}" uniqueName="9" name="DocumentNo" queryTableFieldId="9" dataDxfId="178"/>
    <tableColumn id="10" xr3:uid="{45103D8D-FDFE-415D-BE50-35E5C3D07046}" uniqueName="10" name="Effect date" queryTableFieldId="10" dataDxfId="177"/>
    <tableColumn id="11" xr3:uid="{102F5538-D316-476B-80F1-DA41FE5CFCEC}" uniqueName="11" name="Doc.Header Text" queryTableFieldId="11" dataDxfId="176"/>
    <tableColumn id="12" xr3:uid="{82C0BB93-D2AD-4E4A-B8DA-5334DB366D42}" uniqueName="12" name="Total Deb./Cred." queryTableFieldId="12" dataDxfId="17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74" dataDxfId="172" headerRowBorderDxfId="173" tableBorderDxfId="171">
  <autoFilter ref="B5:N6" xr:uid="{F1A33F38-3D90-4A39-99DD-296A1CA6E61F}"/>
  <tableColumns count="13">
    <tableColumn id="1" xr3:uid="{0CDDB4AD-8BA7-4938-B760-8B955CA121B5}" uniqueName="1" name="Tier" queryTableFieldId="1" dataDxfId="170"/>
    <tableColumn id="2" xr3:uid="{9E502843-6B82-49F6-AED7-054B33AD1F96}" uniqueName="2" name="Type + TCode + Co + Doc N" queryTableFieldId="2" dataDxfId="169"/>
    <tableColumn id="3" xr3:uid="{1EB9073B-FCF7-4A5E-947E-EB377BE753D5}" uniqueName="3" name="CoCd" queryTableFieldId="3" dataDxfId="168"/>
    <tableColumn id="4" xr3:uid="{1FECC6D8-C527-4B13-A363-F4A07A6B3645}" uniqueName="4" name="Manager" queryTableFieldId="4" dataDxfId="167"/>
    <tableColumn id="5" xr3:uid="{4A2F3FB8-C819-4504-BCF9-C97AE136D822}" uniqueName="5" name="User" queryTableFieldId="5" dataDxfId="166"/>
    <tableColumn id="6" xr3:uid="{856C87EB-F09E-4AC9-A871-10D2C9B4A571}" uniqueName="6" name="TCode" queryTableFieldId="6" dataDxfId="165"/>
    <tableColumn id="7" xr3:uid="{0A6C3490-96A0-4877-9AB5-FF9E482222DD}" uniqueName="7" name="Text" queryTableFieldId="7" dataDxfId="164"/>
    <tableColumn id="8" xr3:uid="{375AB973-8CDA-4CAC-89E8-4D97D89E2780}" uniqueName="8" name="Type" queryTableFieldId="8" dataDxfId="163"/>
    <tableColumn id="9" xr3:uid="{E7D834FF-D448-4E58-B0CE-E51115393791}" uniqueName="9" name="DocumentNo" queryTableFieldId="9" dataDxfId="162"/>
    <tableColumn id="10" xr3:uid="{3F61D304-D064-495E-A08F-7BE3FAB33F38}" uniqueName="10" name="Effect date" queryTableFieldId="10" dataDxfId="161"/>
    <tableColumn id="11" xr3:uid="{192EDD28-173B-4C13-8A7C-BE27A7D84C13}" uniqueName="11" name="Doc.Header Text" queryTableFieldId="11" dataDxfId="160"/>
    <tableColumn id="12" xr3:uid="{CBB79FB5-76E4-441D-B439-60B73E016446}" uniqueName="12" name="Total Deb./Cred." queryTableFieldId="12" dataDxfId="159"/>
    <tableColumn id="13" xr3:uid="{9CCA5F46-EC35-4349-9EB6-94DC5CA4627A}" uniqueName="13" name="Counts" queryTableFieldId="13" dataDxfId="15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57" dataDxfId="155" headerRowBorderDxfId="156" tableBorderDxfId="154">
  <autoFilter ref="B7:M8" xr:uid="{C0453726-6800-40BE-8A3B-53AFA49BCB80}"/>
  <tableColumns count="12">
    <tableColumn id="2" xr3:uid="{8561B1C9-94E1-43AE-9912-1ED91410456E}" uniqueName="2" name="Type + TCode + Co + Doc N" queryTableFieldId="2" dataDxfId="153"/>
    <tableColumn id="3" xr3:uid="{9704A0CB-DC65-4612-889A-F518BF950D00}" uniqueName="3" name="CoCd" queryTableFieldId="3" dataDxfId="152"/>
    <tableColumn id="4" xr3:uid="{0F167627-0076-40B3-8B3F-CEAD9598EBE6}" uniqueName="4" name="Manager" queryTableFieldId="4" dataDxfId="151"/>
    <tableColumn id="5" xr3:uid="{CF658E6D-12C7-4026-BE07-70FA901AAAD5}" uniqueName="5" name="User" queryTableFieldId="5" dataDxfId="150"/>
    <tableColumn id="6" xr3:uid="{7B82FFC7-1B9D-44E1-BFC3-E4A25CCE4D47}" uniqueName="6" name="TCode" queryTableFieldId="6" dataDxfId="149"/>
    <tableColumn id="7" xr3:uid="{72A59979-8465-41D5-BC74-C307E8930C14}" uniqueName="7" name="Text" queryTableFieldId="7" dataDxfId="148"/>
    <tableColumn id="8" xr3:uid="{4B225505-FA7F-4D88-B159-371A0CCEE9E8}" uniqueName="8" name="Type" queryTableFieldId="8" dataDxfId="147"/>
    <tableColumn id="9" xr3:uid="{7B470DF4-4286-4BBF-B12C-82538CE3B4FC}" uniqueName="9" name="DocumentNo" queryTableFieldId="9" dataDxfId="146"/>
    <tableColumn id="10" xr3:uid="{FCB7F069-3BC8-4187-91D8-A816BC236A3C}" uniqueName="10" name="Effect date" queryTableFieldId="10" dataDxfId="145"/>
    <tableColumn id="11" xr3:uid="{4DDA498E-871C-4C58-B491-6B10F0427E59}" uniqueName="11" name="Doc.Header Text" queryTableFieldId="11" dataDxfId="144"/>
    <tableColumn id="12" xr3:uid="{E3190F25-2EB1-4A1F-9D88-D7A2422F1BDF}" uniqueName="12" name="Total Deb./Cred." queryTableFieldId="12" dataDxfId="143"/>
    <tableColumn id="13" xr3:uid="{5846501A-5ED7-419D-94FF-95EF4141DEE6}" uniqueName="13" name="Sampling" queryTableFieldId="13" dataDxfId="142">
      <calculatedColumnFormula>+IF(AR[[#This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41" dataDxfId="139" headerRowBorderDxfId="140" tableBorderDxfId="138">
  <autoFilter ref="B7:M8" xr:uid="{BCCE6735-6E09-4B25-A146-5C4FFEB82CBC}"/>
  <tableColumns count="12">
    <tableColumn id="1" xr3:uid="{24102BBA-62ED-47E8-8139-BCEA3077904E}" uniqueName="1" name="Type + TCode + Co + Doc N" queryTableFieldId="1" dataDxfId="137"/>
    <tableColumn id="2" xr3:uid="{DCE318E4-84F8-4244-AE32-46C5435570D5}" uniqueName="2" name="CoCd" queryTableFieldId="2" dataDxfId="136"/>
    <tableColumn id="3" xr3:uid="{950EDB82-F931-4D95-B498-AE39720BA3B1}" uniqueName="3" name="Manager" queryTableFieldId="3" dataDxfId="135"/>
    <tableColumn id="4" xr3:uid="{FB04AFF1-F10A-4B25-BF3A-47A2D27FAE2A}" uniqueName="4" name="User" queryTableFieldId="4" dataDxfId="134"/>
    <tableColumn id="5" xr3:uid="{69A5899F-0096-4BB6-9DCD-F793F7E52BE4}" uniqueName="5" name="TCode" queryTableFieldId="5" dataDxfId="133"/>
    <tableColumn id="6" xr3:uid="{7C02F032-F220-400A-B577-44C4ABA58729}" uniqueName="6" name="Text" queryTableFieldId="6" dataDxfId="132"/>
    <tableColumn id="7" xr3:uid="{40EAB9A0-8DF7-414A-AE9F-53380A61BD4C}" uniqueName="7" name="Type" queryTableFieldId="7" dataDxfId="131"/>
    <tableColumn id="8" xr3:uid="{78A1F9AC-657D-4DCF-81C7-B483477F6737}" uniqueName="8" name="DocumentNo" queryTableFieldId="8" dataDxfId="130"/>
    <tableColumn id="9" xr3:uid="{354AACDD-36AD-4142-924D-A65F46205B78}" uniqueName="9" name="Effect date" queryTableFieldId="9" dataDxfId="129"/>
    <tableColumn id="10" xr3:uid="{9CA15074-30ED-42A8-B58D-E2179CEA0959}" uniqueName="10" name="Doc.Header Text" queryTableFieldId="10" dataDxfId="128"/>
    <tableColumn id="11" xr3:uid="{DB5D7C1E-2038-4EB0-A0B7-64DF467094BB}" uniqueName="11" name="Total Deb./Cred." queryTableFieldId="11" dataDxfId="127"/>
    <tableColumn id="12" xr3:uid="{3F8F0941-0C22-428C-B6A9-061C24CF2FDD}" uniqueName="12" name="Sampling" queryTableFieldId="12" dataDxfId="126">
      <calculatedColumnFormula>+IF(AP[[#This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15" dataDxfId="113" headerRowBorderDxfId="114" tableBorderDxfId="112">
  <autoFilter ref="C5:W6" xr:uid="{CB784C26-1213-4F59-BC7B-839A2B3FA805}"/>
  <tableColumns count="21">
    <tableColumn id="2" xr3:uid="{8CEAD4ED-5649-4591-9C6B-99D9D0A5C84F}" uniqueName="2" name="CoCd" queryTableFieldId="2" dataDxfId="111"/>
    <tableColumn id="3" xr3:uid="{1390F931-9B3C-4EC8-9AB2-084CFE68F05C}" uniqueName="3" name="Manager" queryTableFieldId="3" dataDxfId="110"/>
    <tableColumn id="4" xr3:uid="{69EAF73B-7AA3-4C35-A69D-14CB58484CA3}" uniqueName="4" name="User" queryTableFieldId="4" dataDxfId="109"/>
    <tableColumn id="5" xr3:uid="{A7383E71-F2AB-4684-AB14-3E7FEA3A76B3}" uniqueName="5" name="TCode" queryTableFieldId="5" dataDxfId="108"/>
    <tableColumn id="6" xr3:uid="{EED5117D-79F2-4824-8BEE-35B365DD79AA}" uniqueName="6" name="Type" queryTableFieldId="6" dataDxfId="107"/>
    <tableColumn id="7" xr3:uid="{A6D8EE0F-7478-43EF-B1A9-BA007962B539}" uniqueName="7" name="DocumentNo" queryTableFieldId="7" dataDxfId="106"/>
    <tableColumn id="8" xr3:uid="{26C94B9F-D710-48BC-8A82-037962BECA50}" uniqueName="8" name="Effect date" queryTableFieldId="8" dataDxfId="105"/>
    <tableColumn id="9" xr3:uid="{B8CA9D02-3934-4BB1-9BE7-BC42D9517F2E}" uniqueName="9" name="Doc.Header Text" queryTableFieldId="9" dataDxfId="104"/>
    <tableColumn id="10" xr3:uid="{162CDA7A-7BC4-49ED-ADD0-218BDEE3AFB9}" uniqueName="10" name="Total Deb./Cred." queryTableFieldId="10" dataDxfId="103"/>
    <tableColumn id="11" xr3:uid="{2C95A7CA-8710-4A58-AC37-26A86C763F9E}" uniqueName="11" name="G/L Account" queryTableFieldId="11" dataDxfId="102"/>
    <tableColumn id="12" xr3:uid="{61DB01A1-3A56-43EB-815E-E832C9B63A36}" uniqueName="12" name="G/L Account Descr." queryTableFieldId="12" dataDxfId="101"/>
    <tableColumn id="1" xr3:uid="{04FE8C5C-D696-4721-B947-3F4B219A8BF3}" uniqueName="1" name="Supp/Cust" queryTableFieldId="25"/>
    <tableColumn id="21" xr3:uid="{41656312-1A91-49B9-BD0A-612CDA7776B0}" uniqueName="21" name="Desc.S/C" queryTableFieldId="26"/>
    <tableColumn id="13" xr3:uid="{71005E0B-3FFB-4EC7-914D-DDF77CFB2B61}" uniqueName="13" name="Cost Ctr" queryTableFieldId="13" dataDxfId="100"/>
    <tableColumn id="16" xr3:uid="{37F7559B-1D27-428D-82F8-C883A2F730BB}" uniqueName="16" name="Cost Ctr Desc." queryTableFieldId="16" dataDxfId="99"/>
    <tableColumn id="14" xr3:uid="{DC6EEACE-EE4C-4FD9-A301-38476D8EFF59}" uniqueName="14" name="Profit Ctr" queryTableFieldId="14" dataDxfId="98"/>
    <tableColumn id="17" xr3:uid="{CB4744D1-6C98-4965-BC3D-0AB5CFD359C0}" uniqueName="17" name="Profit Ctr Desc" queryTableFieldId="17" dataDxfId="97"/>
    <tableColumn id="15" xr3:uid="{565C0FC6-9844-4F51-82F3-154E7E22C491}" uniqueName="15" name="Order" queryTableFieldId="15" dataDxfId="96"/>
    <tableColumn id="18" xr3:uid="{C2CC6477-1AB2-4F7B-9911-8979487CE2BF}" uniqueName="18" name="Order Desc." queryTableFieldId="18" dataDxfId="95"/>
    <tableColumn id="19" xr3:uid="{34192EED-EF79-45B6-A29E-74BAA7C9D86A}" uniqueName="19" name="   Debit amount" queryTableFieldId="19" dataDxfId="94"/>
    <tableColumn id="20" xr3:uid="{072B7A90-C691-45E8-9613-F09E0D4D60ED}" uniqueName="20" name="  Credit amount" queryTableFieldId="20" dataDxfId="9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90" dataDxfId="88" headerRowBorderDxfId="89" tableBorderDxfId="87">
  <autoFilter ref="C5:W6" xr:uid="{CD7F8B62-9BA2-4298-8106-7EB434A24747}"/>
  <tableColumns count="21">
    <tableColumn id="1" xr3:uid="{04CF413E-6282-4AF7-BDA3-E3D8B053AE09}" uniqueName="1" name="CoCd" queryTableFieldId="1" dataDxfId="86"/>
    <tableColumn id="2" xr3:uid="{B843589C-B70F-4723-B5D3-5C4F97B07D8E}" uniqueName="2" name="Manager" queryTableFieldId="2" dataDxfId="85"/>
    <tableColumn id="3" xr3:uid="{7AA66676-D072-4BFE-B4A8-16A242997788}" uniqueName="3" name="User" queryTableFieldId="3" dataDxfId="84"/>
    <tableColumn id="4" xr3:uid="{6051C5CD-359C-4B59-9EC8-F98A3AC20317}" uniqueName="4" name="TCode" queryTableFieldId="4" dataDxfId="83"/>
    <tableColumn id="5" xr3:uid="{BD3CE50E-AC51-4E6A-8473-46323E123F28}" uniqueName="5" name="Type" queryTableFieldId="5" dataDxfId="82"/>
    <tableColumn id="6" xr3:uid="{B64D2510-AF54-4426-890F-B0CDC9200B93}" uniqueName="6" name="DocumentNo" queryTableFieldId="6" dataDxfId="81"/>
    <tableColumn id="7" xr3:uid="{F18E8B4C-9871-40CC-B07B-A126FFEE105A}" uniqueName="7" name="Effect date" queryTableFieldId="7" dataDxfId="80"/>
    <tableColumn id="8" xr3:uid="{CBD9049F-CCD1-49D0-8C41-71E5D28510C1}" uniqueName="8" name="Doc.Header Text" queryTableFieldId="8" dataDxfId="79"/>
    <tableColumn id="9" xr3:uid="{16E12A9D-F511-4D9F-865C-39E80494A976}" uniqueName="9" name="Total Deb./Cred." queryTableFieldId="9" dataDxfId="78"/>
    <tableColumn id="10" xr3:uid="{8B65DDD3-64C5-4C27-9700-18EB6C5ADEB4}" uniqueName="10" name="G/L Account" queryTableFieldId="10" dataDxfId="77"/>
    <tableColumn id="11" xr3:uid="{2AC44EFD-0BE9-4ED6-BBBE-3F61F9965E34}" uniqueName="11" name="G/L Account Descr." queryTableFieldId="11" dataDxfId="76"/>
    <tableColumn id="20" xr3:uid="{CCB40E92-3AC9-4D0E-AA62-1D9A62B11DE3}" uniqueName="20" name="Supp/Cust" queryTableFieldId="28"/>
    <tableColumn id="21" xr3:uid="{0CE5F093-C6A5-4B3E-9E18-B9F06683C1CF}" uniqueName="21" name="Desc.S/C" queryTableFieldId="29"/>
    <tableColumn id="14" xr3:uid="{6B845074-48B0-4C0B-AE20-8373202C917C}" uniqueName="14" name="Cost Ctr" queryTableFieldId="14" dataDxfId="75"/>
    <tableColumn id="17" xr3:uid="{5F951380-71E9-4AD3-B72B-8A4DDE8531A1}" uniqueName="17" name="Cost Ctr Desc." queryTableFieldId="17" dataDxfId="74"/>
    <tableColumn id="15" xr3:uid="{DD612D43-C17C-47D8-92EC-FCC2B23CBA4D}" uniqueName="15" name="Profit Ctr" queryTableFieldId="15" dataDxfId="73"/>
    <tableColumn id="18" xr3:uid="{D1D5768C-49EB-40F0-B75B-44E72DB46DB2}" uniqueName="18" name="Profit Ctr Desc" queryTableFieldId="18" dataDxfId="72"/>
    <tableColumn id="16" xr3:uid="{60AF6C15-25B0-4F76-BF3B-06727AA0CFDB}" uniqueName="16" name="Order" queryTableFieldId="16" dataDxfId="71"/>
    <tableColumn id="19" xr3:uid="{E26B1DBE-3032-4D6A-95E5-7C7D6C07FB1E}" uniqueName="19" name="Order Desc." queryTableFieldId="19" dataDxfId="70"/>
    <tableColumn id="12" xr3:uid="{D0574C7A-06D2-4DF5-B39B-FD156C1053A6}" uniqueName="12" name="   Debit amount" queryTableFieldId="12" dataDxfId="69"/>
    <tableColumn id="13" xr3:uid="{9FA2F7EE-A1CB-4F87-A3A8-C1F37C7EDEC4}" uniqueName="13" name="  Credit amount" queryTableFieldId="13" dataDxfId="68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67" dataDxfId="65" headerRowBorderDxfId="66" tableBorderDxfId="64">
  <autoFilter ref="B5:M6" xr:uid="{034115BE-4A80-48DB-9E37-EB622EC16AC3}"/>
  <tableColumns count="12">
    <tableColumn id="1" xr3:uid="{0FE10104-4E69-454D-BD97-6DBB0BEB8661}" uniqueName="1" name="Type + TCode + Co + Doc N" queryTableFieldId="1" dataDxfId="63"/>
    <tableColumn id="2" xr3:uid="{B5E2E48A-A950-49E4-B6F7-22578D35E593}" uniqueName="2" name="CoCd" queryTableFieldId="2" dataDxfId="62"/>
    <tableColumn id="3" xr3:uid="{068000CE-944F-4342-80A9-57DD13BEA196}" uniqueName="3" name="Manager" queryTableFieldId="3" dataDxfId="61"/>
    <tableColumn id="4" xr3:uid="{E3DE1062-6EFA-4542-96AE-47077C850654}" uniqueName="4" name="User" queryTableFieldId="4" dataDxfId="60"/>
    <tableColumn id="5" xr3:uid="{79C4BA23-6D64-4BA8-ACFC-8CC52D428A9A}" uniqueName="5" name="TCode" queryTableFieldId="5" dataDxfId="59"/>
    <tableColumn id="6" xr3:uid="{0E7EB560-2FFB-4C8D-ABE6-7D36F67213A4}" uniqueName="6" name="Text" queryTableFieldId="6" dataDxfId="58"/>
    <tableColumn id="7" xr3:uid="{B5303866-5321-4136-93CE-47907A7FF781}" uniqueName="7" name="Type" queryTableFieldId="7" dataDxfId="57"/>
    <tableColumn id="8" xr3:uid="{89A44242-5A9C-4507-AD78-632E25AC71E7}" uniqueName="8" name="DocumentNo" queryTableFieldId="8" dataDxfId="56"/>
    <tableColumn id="9" xr3:uid="{4510E1EA-2C2C-41B3-932A-007350955C04}" uniqueName="9" name="Effect date" queryTableFieldId="9" dataDxfId="55"/>
    <tableColumn id="10" xr3:uid="{1969B821-AA7D-4CAE-8E6A-BACC3A632F34}" uniqueName="10" name="Doc.Header Text" queryTableFieldId="10" dataDxfId="54"/>
    <tableColumn id="11" xr3:uid="{000CAD34-6323-41B9-8161-591B1AC0981F}" uniqueName="11" name="Total Deb./Cred." queryTableFieldId="11" dataDxfId="53"/>
    <tableColumn id="12" xr3:uid="{03065B03-9461-42C4-A375-1B3C9BD7A88E}" uniqueName="12" name="Sampling" queryTableFieldId="12" dataDxfId="52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51" dataDxfId="49" headerRowBorderDxfId="50" tableBorderDxfId="48">
  <autoFilter ref="B5:M6" xr:uid="{5ABB4E7F-DFE9-49C2-AD41-ED0F95354F70}"/>
  <tableColumns count="12">
    <tableColumn id="1" xr3:uid="{4A765775-F54A-4008-9FAB-E56D607AD850}" uniqueName="1" name="Type + TCode + Co + Doc N" queryTableFieldId="1" dataDxfId="47"/>
    <tableColumn id="2" xr3:uid="{0761ECE0-996F-418A-871B-BBFC6153D7B6}" uniqueName="2" name="CoCd" queryTableFieldId="2" dataDxfId="46"/>
    <tableColumn id="3" xr3:uid="{36A8F6F3-D934-4FD7-99D0-DEE1A00F711F}" uniqueName="3" name="Manager" queryTableFieldId="3" dataDxfId="45"/>
    <tableColumn id="4" xr3:uid="{7EEF131A-84D2-4CCA-87F3-E73EE15FEE1B}" uniqueName="4" name="User" queryTableFieldId="4" dataDxfId="44"/>
    <tableColumn id="5" xr3:uid="{E4CD2EFD-A8B4-411E-AE12-727815DE529C}" uniqueName="5" name="TCode" queryTableFieldId="5" dataDxfId="43"/>
    <tableColumn id="6" xr3:uid="{BD60C0F8-6896-468D-98C9-017730CD22BD}" uniqueName="6" name="Text" queryTableFieldId="6" dataDxfId="42"/>
    <tableColumn id="7" xr3:uid="{05AE3093-3FE9-4C6C-BC22-FF02BCE53502}" uniqueName="7" name="Type" queryTableFieldId="7" dataDxfId="41"/>
    <tableColumn id="8" xr3:uid="{F96981B2-88C7-4A75-932D-B4460FB08C4B}" uniqueName="8" name="DocumentNo" queryTableFieldId="8" dataDxfId="40"/>
    <tableColumn id="9" xr3:uid="{1C4F457C-6878-46D0-B87F-2F5EF38F212F}" uniqueName="9" name="Effect date" queryTableFieldId="9" dataDxfId="39"/>
    <tableColumn id="10" xr3:uid="{8288B3DA-30B1-4F8E-9D4E-0D4B67706537}" uniqueName="10" name="Doc.Header Text" queryTableFieldId="10" dataDxfId="38"/>
    <tableColumn id="11" xr3:uid="{CB7A5201-7D0E-44FD-B483-FC646AC9072D}" uniqueName="11" name="Total Deb./Cred." queryTableFieldId="11" dataDxfId="37"/>
    <tableColumn id="12" xr3:uid="{F2F0C37E-F209-4739-A744-FC72A4A72CC3}" uniqueName="12" name="Sampling" queryTableFieldId="12" dataDxfId="3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1CE7D-72B2-4DD1-9B1D-65B5D00FB6DA}">
  <sheetPr codeName="Sheet1"/>
  <dimension ref="A1"/>
  <sheetViews>
    <sheetView workbookViewId="0"/>
  </sheetViews>
  <sheetFormatPr defaultRowHeight="15" x14ac:dyDescent="0.25"/>
  <cols>
    <col min="1" max="16384" width="9.140625" style="11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5"/>
  <sheetViews>
    <sheetView showGridLines="0" zoomScale="90" zoomScaleNormal="90" workbookViewId="0">
      <pane ySplit="4" topLeftCell="A5" activePane="bottomLeft" state="frozen"/>
      <selection pane="bottomLeft" activeCell="K8" sqref="K8"/>
    </sheetView>
  </sheetViews>
  <sheetFormatPr defaultColWidth="8.85546875" defaultRowHeight="12" x14ac:dyDescent="0.2"/>
  <cols>
    <col min="1" max="1" width="2.42578125" style="1" customWidth="1"/>
    <col min="2" max="2" width="11.28515625" style="1" bestFit="1" customWidth="1"/>
    <col min="3" max="3" width="15.7109375" style="1" bestFit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9" bestFit="1" customWidth="1"/>
    <col min="14" max="14" width="12.140625" style="119" bestFit="1" customWidth="1"/>
    <col min="15" max="15" width="12.42578125" style="119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20" width="20.85546875" style="1" customWidth="1"/>
    <col min="21" max="21" width="6.425781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3" t="s">
        <v>71</v>
      </c>
      <c r="C1" s="143"/>
      <c r="D1" s="143"/>
      <c r="E1" s="143"/>
      <c r="F1" s="143"/>
      <c r="G1" s="143"/>
      <c r="H1" s="143"/>
      <c r="M1" s="118"/>
      <c r="N1" s="118"/>
      <c r="O1" s="118"/>
    </row>
    <row r="2" spans="2:39" ht="16.899999999999999" customHeight="1" x14ac:dyDescent="0.25">
      <c r="F2" s="144" t="s">
        <v>72</v>
      </c>
      <c r="G2" s="144"/>
      <c r="H2" s="144"/>
      <c r="I2" s="144"/>
      <c r="J2" s="144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0" t="s">
        <v>11</v>
      </c>
      <c r="N4" s="120" t="s">
        <v>12</v>
      </c>
      <c r="O4" s="120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Under Control</v>
      </c>
      <c r="C5" s="5" t="str">
        <f>+CONCATENATE(ZEUFI037[[#This Row],[Type]],"-",ZEUFI037[[#This Row],[G/L Account]])</f>
        <v>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21"/>
      <c r="N5" s="121"/>
      <c r="O5" s="121"/>
      <c r="P5" s="6"/>
      <c r="Q5" s="6"/>
      <c r="R5" s="6"/>
      <c r="S5" s="107"/>
      <c r="T5" s="6"/>
      <c r="U5" s="6"/>
      <c r="V5" s="6"/>
      <c r="W5" s="6"/>
      <c r="X5" s="113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26"/>
  <sheetViews>
    <sheetView showGridLines="0" workbookViewId="0">
      <pane ySplit="3" topLeftCell="A4" activePane="bottomLeft" state="frozen"/>
      <selection pane="bottomLeft" activeCell="C3" sqref="C3:C26"/>
    </sheetView>
  </sheetViews>
  <sheetFormatPr defaultColWidth="8.85546875" defaultRowHeight="12" x14ac:dyDescent="0.2"/>
  <cols>
    <col min="1" max="1" width="2.28515625" style="1" customWidth="1"/>
    <col min="2" max="2" width="13" style="1" customWidth="1"/>
    <col min="3" max="3" width="17" style="1" customWidth="1"/>
    <col min="4" max="4" width="16.7109375" style="1" customWidth="1"/>
    <col min="5" max="5" width="16.140625" style="1" customWidth="1"/>
    <col min="6" max="16384" width="8.85546875" style="1"/>
  </cols>
  <sheetData>
    <row r="1" spans="2:12" s="9" customFormat="1" ht="19.149999999999999" customHeight="1" x14ac:dyDescent="0.3">
      <c r="B1" s="145" t="s">
        <v>37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3" spans="2:12" x14ac:dyDescent="0.2">
      <c r="B3" s="111" t="s">
        <v>38</v>
      </c>
      <c r="C3" s="115" t="s">
        <v>22</v>
      </c>
      <c r="D3" s="111" t="s">
        <v>1</v>
      </c>
      <c r="E3" s="111" t="s">
        <v>39</v>
      </c>
    </row>
    <row r="4" spans="2:12" x14ac:dyDescent="0.2">
      <c r="B4" s="4">
        <v>4</v>
      </c>
      <c r="C4" s="116" t="s">
        <v>79</v>
      </c>
      <c r="D4" s="4" t="str">
        <f t="shared" ref="D4:D26" si="0">+CONCATENATE(B4,"-",C4)</f>
        <v>4-0034210000</v>
      </c>
      <c r="E4" s="4" t="str">
        <f>+Exclusions[[#Headers],[Under Control]]</f>
        <v>Under Control</v>
      </c>
    </row>
    <row r="5" spans="2:12" x14ac:dyDescent="0.2">
      <c r="B5" s="4">
        <v>4</v>
      </c>
      <c r="C5" s="116" t="s">
        <v>81</v>
      </c>
      <c r="D5" s="4" t="str">
        <f t="shared" si="0"/>
        <v>4-0034211000</v>
      </c>
      <c r="E5" s="4" t="str">
        <f>+Exclusions[[#Headers],[Under Control]]</f>
        <v>Under Control</v>
      </c>
    </row>
    <row r="6" spans="2:12" x14ac:dyDescent="0.2">
      <c r="B6" s="4">
        <v>4</v>
      </c>
      <c r="C6" s="116" t="s">
        <v>80</v>
      </c>
      <c r="D6" s="4" t="str">
        <f t="shared" si="0"/>
        <v>4-0034240000</v>
      </c>
      <c r="E6" s="4" t="str">
        <f>+Exclusions[[#Headers],[Under Control]]</f>
        <v>Under Control</v>
      </c>
    </row>
    <row r="7" spans="2:12" x14ac:dyDescent="0.2">
      <c r="B7" s="4">
        <v>4</v>
      </c>
      <c r="C7" s="116" t="s">
        <v>78</v>
      </c>
      <c r="D7" s="4" t="str">
        <f t="shared" si="0"/>
        <v>4-0034880000</v>
      </c>
      <c r="E7" s="4" t="str">
        <f>+Exclusions[[#Headers],[Under Control]]</f>
        <v>Under Control</v>
      </c>
    </row>
    <row r="8" spans="2:12" x14ac:dyDescent="0.2">
      <c r="B8" s="4">
        <v>4</v>
      </c>
      <c r="C8" s="116" t="s">
        <v>82</v>
      </c>
      <c r="D8" s="4" t="str">
        <f t="shared" si="0"/>
        <v>4-0044210000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6" t="s">
        <v>83</v>
      </c>
      <c r="D9" s="4" t="str">
        <f t="shared" si="0"/>
        <v>AB-0034110000</v>
      </c>
      <c r="E9" s="4" t="str">
        <f>+Exclusions[[#Headers],[Under Control]]</f>
        <v>Under Control</v>
      </c>
    </row>
    <row r="10" spans="2:12" x14ac:dyDescent="0.2">
      <c r="B10" s="4" t="s">
        <v>64</v>
      </c>
      <c r="C10" s="116" t="s">
        <v>79</v>
      </c>
      <c r="D10" s="4" t="str">
        <f t="shared" si="0"/>
        <v>AB-0034210000</v>
      </c>
      <c r="E10" s="4" t="str">
        <f>+Exclusions[[#Headers],[Under Control]]</f>
        <v>Under Control</v>
      </c>
    </row>
    <row r="11" spans="2:12" x14ac:dyDescent="0.2">
      <c r="B11" s="4" t="s">
        <v>64</v>
      </c>
      <c r="C11" s="116" t="s">
        <v>77</v>
      </c>
      <c r="D11" s="4" t="str">
        <f t="shared" si="0"/>
        <v>AB-0044110000</v>
      </c>
      <c r="E11" s="4" t="str">
        <f>+Exclusions[[#Headers],[Under Control]]</f>
        <v>Under Control</v>
      </c>
    </row>
    <row r="12" spans="2:12" x14ac:dyDescent="0.2">
      <c r="B12" s="4" t="s">
        <v>64</v>
      </c>
      <c r="C12" s="116" t="s">
        <v>84</v>
      </c>
      <c r="D12" s="4" t="str">
        <f t="shared" si="0"/>
        <v>AB-0044150000</v>
      </c>
      <c r="E12" s="4" t="str">
        <f>+Exclusions[[#Headers],[Under Control]]</f>
        <v>Under Control</v>
      </c>
    </row>
    <row r="13" spans="2:12" x14ac:dyDescent="0.2">
      <c r="B13" s="4" t="s">
        <v>64</v>
      </c>
      <c r="C13" s="116" t="s">
        <v>85</v>
      </c>
      <c r="D13" s="4" t="str">
        <f t="shared" si="0"/>
        <v>AB-0044151000</v>
      </c>
      <c r="E13" s="4" t="str">
        <f>+Exclusions[[#Headers],[Under Control]]</f>
        <v>Under Control</v>
      </c>
    </row>
    <row r="14" spans="2:12" x14ac:dyDescent="0.2">
      <c r="B14" s="4" t="s">
        <v>64</v>
      </c>
      <c r="C14" s="116" t="s">
        <v>86</v>
      </c>
      <c r="D14" s="4" t="str">
        <f t="shared" si="0"/>
        <v>AB-0051410409</v>
      </c>
      <c r="E14" s="4" t="str">
        <f>+Exclusions[[#Headers],[Under Control]]</f>
        <v>Under Control</v>
      </c>
    </row>
    <row r="15" spans="2:12" x14ac:dyDescent="0.2">
      <c r="B15" s="4" t="s">
        <v>64</v>
      </c>
      <c r="C15" s="116" t="s">
        <v>87</v>
      </c>
      <c r="D15" s="4" t="str">
        <f t="shared" si="0"/>
        <v>AB-0051411002</v>
      </c>
      <c r="E15" s="4" t="str">
        <f>+Exclusions[[#Headers],[Under Control]]</f>
        <v>Under Control</v>
      </c>
    </row>
    <row r="16" spans="2:12" x14ac:dyDescent="0.2">
      <c r="B16" s="4" t="s">
        <v>64</v>
      </c>
      <c r="C16" s="116" t="s">
        <v>88</v>
      </c>
      <c r="D16" s="4" t="str">
        <f t="shared" si="0"/>
        <v>AB-0051411003</v>
      </c>
      <c r="E16" s="4" t="str">
        <f>+Exclusions[[#Headers],[Under Control]]</f>
        <v>Under Control</v>
      </c>
    </row>
    <row r="17" spans="2:5" x14ac:dyDescent="0.2">
      <c r="B17" s="4" t="s">
        <v>64</v>
      </c>
      <c r="C17" s="117" t="s">
        <v>96</v>
      </c>
      <c r="D17" s="4" t="str">
        <f t="shared" si="0"/>
        <v>AB-0051411009</v>
      </c>
      <c r="E17" s="4" t="str">
        <f>+Exclusions[[#Headers],[Under Control]]</f>
        <v>Under Control</v>
      </c>
    </row>
    <row r="18" spans="2:5" x14ac:dyDescent="0.2">
      <c r="B18" s="4" t="s">
        <v>64</v>
      </c>
      <c r="C18" s="116" t="s">
        <v>89</v>
      </c>
      <c r="D18" s="4" t="str">
        <f t="shared" si="0"/>
        <v>AB-0051412009</v>
      </c>
      <c r="E18" s="4" t="str">
        <f>+Exclusions[[#Headers],[Under Control]]</f>
        <v>Under Control</v>
      </c>
    </row>
    <row r="19" spans="2:5" x14ac:dyDescent="0.2">
      <c r="B19" s="4" t="s">
        <v>64</v>
      </c>
      <c r="C19" s="116" t="s">
        <v>90</v>
      </c>
      <c r="D19" s="4" t="str">
        <f t="shared" si="0"/>
        <v>AB-0051412019</v>
      </c>
      <c r="E19" s="4" t="str">
        <f>+Exclusions[[#Headers],[Under Control]]</f>
        <v>Under Control</v>
      </c>
    </row>
    <row r="20" spans="2:5" x14ac:dyDescent="0.2">
      <c r="B20" s="4" t="s">
        <v>64</v>
      </c>
      <c r="C20" s="116" t="s">
        <v>76</v>
      </c>
      <c r="D20" s="4" t="str">
        <f t="shared" si="0"/>
        <v>AB-0051414002</v>
      </c>
      <c r="E20" s="4" t="str">
        <f>+Exclusions[[#Headers],[Under Control]]</f>
        <v>Under Control</v>
      </c>
    </row>
    <row r="21" spans="2:5" x14ac:dyDescent="0.2">
      <c r="B21" s="4" t="s">
        <v>64</v>
      </c>
      <c r="C21" s="116" t="s">
        <v>91</v>
      </c>
      <c r="D21" s="4" t="str">
        <f t="shared" si="0"/>
        <v>AB-0051414003</v>
      </c>
      <c r="E21" s="4" t="str">
        <f>+Exclusions[[#Headers],[Under Control]]</f>
        <v>Under Control</v>
      </c>
    </row>
    <row r="22" spans="2:5" x14ac:dyDescent="0.2">
      <c r="B22" s="4" t="s">
        <v>64</v>
      </c>
      <c r="C22" s="117" t="s">
        <v>75</v>
      </c>
      <c r="D22" s="4" t="str">
        <f t="shared" si="0"/>
        <v>AB-0051414009</v>
      </c>
      <c r="E22" s="4" t="str">
        <f>+Exclusions[[#Headers],[Under Control]]</f>
        <v>Under Control</v>
      </c>
    </row>
    <row r="23" spans="2:5" x14ac:dyDescent="0.2">
      <c r="B23" s="4" t="s">
        <v>64</v>
      </c>
      <c r="C23" s="116" t="s">
        <v>92</v>
      </c>
      <c r="D23" s="4" t="str">
        <f t="shared" si="0"/>
        <v>AB-0090199999</v>
      </c>
      <c r="E23" s="4" t="str">
        <f>+Exclusions[[#Headers],[Under Control]]</f>
        <v>Under Control</v>
      </c>
    </row>
    <row r="24" spans="2:5" x14ac:dyDescent="0.2">
      <c r="B24" s="4" t="s">
        <v>64</v>
      </c>
      <c r="C24" s="116" t="s">
        <v>93</v>
      </c>
      <c r="D24" s="4" t="str">
        <f t="shared" si="0"/>
        <v>AB-0090299999</v>
      </c>
      <c r="E24" s="4" t="str">
        <f>+Exclusions[[#Headers],[Under Control]]</f>
        <v>Under Control</v>
      </c>
    </row>
    <row r="25" spans="2:5" x14ac:dyDescent="0.2">
      <c r="B25" s="4" t="s">
        <v>64</v>
      </c>
      <c r="C25" s="116" t="s">
        <v>94</v>
      </c>
      <c r="D25" s="4" t="str">
        <f t="shared" si="0"/>
        <v>AB-0090599999</v>
      </c>
      <c r="E25" s="4" t="str">
        <f>+Exclusions[[#Headers],[Under Control]]</f>
        <v>Under Control</v>
      </c>
    </row>
    <row r="26" spans="2:5" x14ac:dyDescent="0.2">
      <c r="B26" s="4" t="s">
        <v>64</v>
      </c>
      <c r="C26" s="116" t="s">
        <v>95</v>
      </c>
      <c r="D26" s="4" t="str">
        <f t="shared" si="0"/>
        <v>AB-0090699999</v>
      </c>
      <c r="E26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6"/>
  <sheetViews>
    <sheetView showGridLines="0" topLeftCell="D1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9.42578125" style="1" bestFit="1" customWidth="1"/>
    <col min="8" max="8" width="10.7109375" style="1" bestFit="1" customWidth="1"/>
    <col min="9" max="9" width="9.1406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9" bestFit="1" customWidth="1"/>
    <col min="14" max="14" width="13.7109375" style="119" bestFit="1" customWidth="1"/>
    <col min="15" max="15" width="14.28515625" style="119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11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2"/>
      <c r="N1" s="122"/>
      <c r="O1" s="122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3" t="s">
        <v>11</v>
      </c>
      <c r="N5" s="123" t="s">
        <v>12</v>
      </c>
      <c r="O5" s="123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156" t="s">
        <v>39</v>
      </c>
      <c r="C6" s="4" t="s">
        <v>36</v>
      </c>
      <c r="D6" s="4" t="s">
        <v>65</v>
      </c>
      <c r="E6" s="4"/>
      <c r="F6" s="4"/>
      <c r="G6" s="4"/>
      <c r="H6" s="4"/>
      <c r="J6" s="4"/>
      <c r="L6" s="156"/>
      <c r="M6" s="124"/>
      <c r="N6" s="124"/>
      <c r="O6" s="124"/>
      <c r="S6" s="157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24"/>
      <c r="M6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2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3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65</v>
      </c>
      <c r="D6" s="4"/>
      <c r="E6" s="4"/>
      <c r="F6" s="4"/>
      <c r="G6" s="4"/>
      <c r="I6" s="4"/>
      <c r="J6" s="4"/>
      <c r="K6" s="124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57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2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 t="str">
        <f>+IF(AP[[#This Row],[Total Deb./Cred.]]&gt;Summary!$C$21,"Sample","-")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4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2" style="1" customWidth="1"/>
    <col min="2" max="2" width="38.28515625" style="1" bestFit="1" customWidth="1"/>
    <col min="3" max="3" width="10.7109375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4.2851562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44</v>
      </c>
      <c r="C2" s="143"/>
      <c r="D2" s="143"/>
      <c r="E2" s="146" t="s">
        <v>70</v>
      </c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51</v>
      </c>
      <c r="C4" s="148"/>
      <c r="D4" s="148"/>
      <c r="E4" s="148"/>
      <c r="F4" s="149"/>
      <c r="H4" s="150" t="s">
        <v>41</v>
      </c>
      <c r="I4" s="151"/>
      <c r="J4" s="151"/>
      <c r="K4" s="152"/>
      <c r="L4" s="1"/>
      <c r="M4" s="153" t="s">
        <v>45</v>
      </c>
      <c r="N4" s="154"/>
      <c r="O4" s="154"/>
      <c r="P4" s="155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63</v>
      </c>
      <c r="F5" s="67" t="s">
        <v>47</v>
      </c>
      <c r="G5" s="43"/>
      <c r="H5" s="94" t="s">
        <v>46</v>
      </c>
      <c r="I5" s="95" t="s">
        <v>47</v>
      </c>
      <c r="J5" s="95" t="s">
        <v>63</v>
      </c>
      <c r="K5" s="96" t="s">
        <v>47</v>
      </c>
      <c r="M5" s="91" t="s">
        <v>46</v>
      </c>
      <c r="N5" s="92" t="s">
        <v>47</v>
      </c>
      <c r="O5" s="92" t="s">
        <v>63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69</v>
      </c>
      <c r="C7" s="53">
        <f>+AR!L3</f>
        <v>0</v>
      </c>
      <c r="D7" s="54" t="e">
        <f>+C7/$C$9</f>
        <v>#DIV/0!</v>
      </c>
      <c r="E7" s="55">
        <f>+AR!L5</f>
        <v>0</v>
      </c>
      <c r="F7" s="71" t="e">
        <f>+E7/$E$9</f>
        <v>#DIV/0!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68</v>
      </c>
      <c r="C8" s="59">
        <f>+AP!L3</f>
        <v>0</v>
      </c>
      <c r="D8" s="60" t="e">
        <f>+C8/$C$9</f>
        <v>#DIV/0!</v>
      </c>
      <c r="E8" s="61">
        <f>+AP!L5</f>
        <v>0</v>
      </c>
      <c r="F8" s="73" t="e">
        <f>+E8/$E$9</f>
        <v>#DIV/0!</v>
      </c>
      <c r="G8" s="43"/>
      <c r="H8" s="90">
        <f>+AP!M3</f>
        <v>0</v>
      </c>
      <c r="I8" s="60" t="e">
        <f>+H8/$C8</f>
        <v>#DIV/0!</v>
      </c>
      <c r="J8" s="64">
        <f>+AP!M5</f>
        <v>0</v>
      </c>
      <c r="K8" s="84" t="e">
        <f>+J8/$E8</f>
        <v>#DIV/0!</v>
      </c>
      <c r="L8" s="44"/>
      <c r="M8" s="83">
        <f>+C8-H8</f>
        <v>0</v>
      </c>
      <c r="N8" s="60" t="e">
        <f t="shared" ref="N8:N9" si="0">+M8/C8</f>
        <v>#DIV/0!</v>
      </c>
      <c r="O8" s="64">
        <f>+E8-J8</f>
        <v>0</v>
      </c>
      <c r="P8" s="84" t="e">
        <f>+O8/$E8</f>
        <v>#DIV/0!</v>
      </c>
    </row>
    <row r="9" spans="2:16" s="3" customFormat="1" ht="18.600000000000001" customHeight="1" thickBot="1" x14ac:dyDescent="0.25">
      <c r="B9" s="74" t="s">
        <v>49</v>
      </c>
      <c r="C9" s="75">
        <f>SUM(C7:C8)</f>
        <v>0</v>
      </c>
      <c r="D9" s="76">
        <f>+C9/$C$11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 t="e">
        <f>+H9/$C9</f>
        <v>#DIV/0!</v>
      </c>
      <c r="J9" s="99">
        <f>SUM(J7:J8)</f>
        <v>0</v>
      </c>
      <c r="K9" s="100" t="e">
        <f>+J9/$E9</f>
        <v>#DIV/0!</v>
      </c>
      <c r="L9" s="44"/>
      <c r="M9" s="85">
        <f>SUM(M7:M8)</f>
        <v>0</v>
      </c>
      <c r="N9" s="86" t="e">
        <f t="shared" si="0"/>
        <v>#DIV/0!</v>
      </c>
      <c r="O9" s="87">
        <f>SUM(O7:O8)</f>
        <v>0</v>
      </c>
      <c r="P9" s="88" t="e">
        <f>+O9/$E9</f>
        <v>#DIV/0!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1</v>
      </c>
      <c r="D11" s="50" t="s">
        <v>36</v>
      </c>
      <c r="E11" s="51">
        <f>+E9+E6</f>
        <v>0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+O9&lt;2000000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4" spans="2:16" ht="7.9" customHeight="1" x14ac:dyDescent="0.2"/>
    <row r="19" spans="2:6" ht="12.75" x14ac:dyDescent="0.2">
      <c r="B19" s="112" t="s">
        <v>66</v>
      </c>
      <c r="C19" s="42"/>
      <c r="D19" s="42"/>
      <c r="E19" s="42"/>
      <c r="F19" s="42"/>
    </row>
    <row r="20" spans="2:6" ht="12.75" thickBot="1" x14ac:dyDescent="0.25"/>
    <row r="21" spans="2:6" ht="12.75" thickBot="1" x14ac:dyDescent="0.25">
      <c r="B21" s="108" t="s">
        <v>67</v>
      </c>
      <c r="C21" s="109">
        <v>100000</v>
      </c>
      <c r="D21" s="110" t="s">
        <v>63</v>
      </c>
    </row>
    <row r="24" spans="2:6" x14ac:dyDescent="0.2">
      <c r="B24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125" priority="7" operator="containsText" text="TRUE">
      <formula>NOT(ISERROR(SEARCH("TRUE",C13)))</formula>
    </cfRule>
  </conditionalFormatting>
  <conditionalFormatting sqref="E13:F13">
    <cfRule type="containsText" dxfId="124" priority="5" operator="containsText" text="TRUE">
      <formula>NOT(ISERROR(SEARCH("TRUE",E13)))</formula>
    </cfRule>
  </conditionalFormatting>
  <conditionalFormatting sqref="H11">
    <cfRule type="containsText" dxfId="123" priority="4" operator="containsText" text="TRUE">
      <formula>NOT(ISERROR(SEARCH("TRUE",H11)))</formula>
    </cfRule>
  </conditionalFormatting>
  <conditionalFormatting sqref="H7:K8">
    <cfRule type="cellIs" dxfId="122" priority="15" operator="equal">
      <formula>0</formula>
    </cfRule>
  </conditionalFormatting>
  <conditionalFormatting sqref="J11:K11">
    <cfRule type="containsText" dxfId="121" priority="2" operator="containsText" text="TRUE">
      <formula>NOT(ISERROR(SEARCH("TRUE",J11)))</formula>
    </cfRule>
  </conditionalFormatting>
  <conditionalFormatting sqref="M11">
    <cfRule type="containsText" dxfId="120" priority="1" operator="containsText" text="TRUE">
      <formula>NOT(ISERROR(SEARCH("TRUE",M11)))</formula>
    </cfRule>
  </conditionalFormatting>
  <conditionalFormatting sqref="O11">
    <cfRule type="containsText" dxfId="119" priority="16" operator="containsText" text="FALSE">
      <formula>NOT(ISERROR(SEARCH("FALSE",O11)))</formula>
    </cfRule>
    <cfRule type="containsText" dxfId="118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9"/>
  <sheetViews>
    <sheetView showGridLines="0" tabSelected="1" zoomScale="90" zoomScaleNormal="90" workbookViewId="0">
      <pane xSplit="11" topLeftCell="V1" activePane="topRight" state="frozen"/>
      <selection pane="topRight" activeCell="X12" sqref="X12"/>
    </sheetView>
  </sheetViews>
  <sheetFormatPr defaultColWidth="8.85546875" defaultRowHeight="12" x14ac:dyDescent="0.2"/>
  <cols>
    <col min="1" max="1" width="3" style="1" customWidth="1"/>
    <col min="2" max="2" width="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3" bestFit="1" customWidth="1"/>
    <col min="25" max="25" width="29.7109375" style="140" customWidth="1"/>
    <col min="26" max="26" width="20.85546875" style="133" bestFit="1" customWidth="1"/>
    <col min="27" max="27" width="33.85546875" style="140" customWidth="1"/>
    <col min="28" max="16384" width="8.85546875" style="1"/>
  </cols>
  <sheetData>
    <row r="1" spans="2:27" s="9" customFormat="1" ht="21.6" customHeight="1" x14ac:dyDescent="0.3">
      <c r="C1" s="10" t="s">
        <v>73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7"/>
      <c r="Y3" s="139"/>
    </row>
    <row r="4" spans="2:27" ht="4.1500000000000004" customHeight="1" thickBot="1" x14ac:dyDescent="0.25"/>
    <row r="5" spans="2:27" ht="12.75" thickBot="1" x14ac:dyDescent="0.25">
      <c r="B5" s="142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29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C6" s="4"/>
      <c r="D6" s="4"/>
      <c r="E6" s="4"/>
      <c r="F6" s="4"/>
      <c r="G6" s="4"/>
      <c r="H6" s="4"/>
      <c r="I6" s="124"/>
      <c r="K6" s="8"/>
      <c r="L6" s="4"/>
      <c r="N6"/>
      <c r="O6"/>
      <c r="V6" s="8"/>
      <c r="W6" s="8"/>
    </row>
    <row r="7" spans="2:27" x14ac:dyDescent="0.2">
      <c r="C7" s="4"/>
      <c r="D7" s="4"/>
      <c r="E7" s="4"/>
      <c r="F7" s="4"/>
      <c r="G7" s="4"/>
      <c r="H7" s="4"/>
      <c r="I7" s="124"/>
      <c r="K7" s="8"/>
      <c r="L7" s="4"/>
      <c r="V7" s="8"/>
      <c r="W7" s="8"/>
    </row>
    <row r="8" spans="2:27" x14ac:dyDescent="0.2">
      <c r="C8" s="4"/>
      <c r="D8" s="4"/>
      <c r="E8" s="4"/>
      <c r="F8" s="4"/>
      <c r="G8" s="4"/>
      <c r="H8" s="4"/>
      <c r="I8" s="124"/>
      <c r="K8" s="8"/>
      <c r="L8" s="4"/>
      <c r="V8" s="8"/>
      <c r="W8" s="8"/>
    </row>
    <row r="9" spans="2:27" x14ac:dyDescent="0.2">
      <c r="C9" s="4"/>
      <c r="D9" s="4"/>
      <c r="E9" s="4"/>
      <c r="F9" s="4"/>
      <c r="G9" s="4"/>
      <c r="H9" s="4"/>
      <c r="I9" s="124"/>
      <c r="K9" s="8"/>
      <c r="L9" s="4"/>
      <c r="V9" s="8"/>
      <c r="W9" s="8"/>
    </row>
  </sheetData>
  <phoneticPr fontId="17" type="noConversion"/>
  <conditionalFormatting sqref="X1:X4 X6:X1048576">
    <cfRule type="containsText" dxfId="117" priority="1" operator="containsText" text="WRONG">
      <formula>NOT(ISERROR(SEARCH("WRONG",X1)))</formula>
    </cfRule>
    <cfRule type="containsText" dxfId="116" priority="2" operator="containsText" text="CORRECT">
      <formula>NOT(ISERROR(SEARCH("CORRECT",X1)))</formula>
    </cfRule>
  </conditionalFormatting>
  <dataValidations count="2">
    <dataValidation type="list" allowBlank="1" showInputMessage="1" showErrorMessage="1" sqref="I17" xr:uid="{375F2592-7FB1-40E0-9794-410AFF54D270}">
      <mc:AlternateContent xmlns:x12ac="http://schemas.microsoft.com/office/spreadsheetml/2011/1/ac" xmlns:mc="http://schemas.openxmlformats.org/markup-compatibility/2006">
        <mc:Choice Requires="x12ac">
          <x12ac:list>"CORRECT,WRONG"</x12ac:list>
        </mc:Choice>
        <mc:Fallback>
          <formula1>"CORRECT,WRONG"</formula1>
        </mc:Fallback>
      </mc:AlternateContent>
    </dataValidation>
    <dataValidation type="list" allowBlank="1" showInputMessage="1" showErrorMessage="1" sqref="X6:X1048576" xr:uid="{F7B73C27-34E6-470E-8C32-4BA15FC8AD09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6"/>
  <sheetViews>
    <sheetView showGridLines="0" zoomScale="90" zoomScaleNormal="90" workbookViewId="0">
      <pane xSplit="11" topLeftCell="W1" activePane="topRight" state="frozen"/>
      <selection pane="topRight" activeCell="W13" sqref="W13"/>
    </sheetView>
  </sheetViews>
  <sheetFormatPr defaultColWidth="8.85546875" defaultRowHeight="12" x14ac:dyDescent="0.2"/>
  <cols>
    <col min="1" max="1" width="2.85546875" style="1" customWidth="1"/>
    <col min="2" max="2" width="5.8554687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0.5703125" style="133" customWidth="1"/>
    <col min="25" max="25" width="22.28515625" style="140" customWidth="1"/>
    <col min="26" max="26" width="17" style="133" bestFit="1" customWidth="1"/>
    <col min="27" max="27" width="19.85546875" style="140" bestFit="1" customWidth="1"/>
    <col min="28" max="16384" width="8.85546875" style="1"/>
  </cols>
  <sheetData>
    <row r="1" spans="2:27" s="9" customFormat="1" ht="21.6" customHeight="1" x14ac:dyDescent="0.3">
      <c r="C1" s="10" t="s">
        <v>74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7"/>
      <c r="Y3" s="139"/>
    </row>
    <row r="4" spans="2:27" ht="12.75" thickBot="1" x14ac:dyDescent="0.25"/>
    <row r="5" spans="2:27" ht="24" customHeight="1" thickBot="1" x14ac:dyDescent="0.25">
      <c r="B5" s="142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30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C6" s="4"/>
      <c r="D6" s="4"/>
      <c r="E6" s="4"/>
      <c r="F6" s="4"/>
      <c r="G6" s="4"/>
      <c r="H6" s="4"/>
      <c r="I6" s="124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92" priority="3" operator="containsText" text="WRONG">
      <formula>NOT(ISERROR(SEARCH("WRONG",X6)))</formula>
    </cfRule>
    <cfRule type="containsText" dxfId="91" priority="4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EFEF4B4-A2ED-481D-BCFD-7DA56F06E8D6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6" sqref="J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I6" sqref="I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2025-03-12T10:48:02Z</dcterms:modified>
</cp:coreProperties>
</file>