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ExcelReports\"/>
    </mc:Choice>
  </mc:AlternateContent>
  <xr:revisionPtr revIDLastSave="0" documentId="13_ncr:1_{0C8D7397-632F-4B28-ABAE-348EBEA69999}" xr6:coauthVersionLast="47" xr6:coauthVersionMax="47" xr10:uidLastSave="{00000000-0000-0000-0000-000000000000}"/>
  <bookViews>
    <workbookView xWindow="-120" yWindow="-120" windowWidth="23280" windowHeight="12600" tabRatio="791" firstSheet="1" activeTab="1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AR!$B$7:$L$8</definedName>
    <definedName name="ExternalData_1" localSheetId="3" hidden="1">'Clearings'!$B$5:$AM$72</definedName>
    <definedName name="ExternalData_1" localSheetId="11" hidden="1">Sample_AR!$B$5:$M$6</definedName>
    <definedName name="ExternalData_1" localSheetId="4" hidden="1">To_Analyze!$B$5:$M$36</definedName>
    <definedName name="ExternalData_2" localSheetId="7" hidden="1">AP!$B$7:$L$38</definedName>
    <definedName name="ExternalData_2" localSheetId="12" hidden="1">Sample_AP!$B$5:$M$7</definedName>
    <definedName name="ExternalData_2" localSheetId="5" hidden="1">Under_Control!$B$5:$M$6</definedName>
    <definedName name="ExternalData_3" localSheetId="9" hidden="1">'AR_To Analyze'!$C$5:$W$6</definedName>
    <definedName name="ExternalData_4" localSheetId="10" hidden="1">'AP_To Analyze'!$C$5:$W$13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N6" i="12"/>
  <c r="C6" i="2"/>
  <c r="B6" i="2" s="1"/>
  <c r="C7" i="2"/>
  <c r="B7" i="2" s="1"/>
  <c r="C8" i="2"/>
  <c r="B8" i="2" s="1"/>
  <c r="C9" i="2"/>
  <c r="B9" i="2" s="1"/>
  <c r="C10" i="2"/>
  <c r="B10" i="2" s="1"/>
  <c r="C11" i="2"/>
  <c r="B11" i="2" s="1"/>
  <c r="C12" i="2"/>
  <c r="B12" i="2" s="1"/>
  <c r="C13" i="2"/>
  <c r="B13" i="2" s="1"/>
  <c r="C14" i="2"/>
  <c r="B14" i="2" s="1"/>
  <c r="C15" i="2"/>
  <c r="B15" i="2" s="1"/>
  <c r="C16" i="2"/>
  <c r="B16" i="2" s="1"/>
  <c r="C17" i="2"/>
  <c r="B17" i="2" s="1"/>
  <c r="C18" i="2"/>
  <c r="B18" i="2" s="1"/>
  <c r="C19" i="2"/>
  <c r="B19" i="2" s="1"/>
  <c r="C20" i="2"/>
  <c r="B20" i="2" s="1"/>
  <c r="C21" i="2"/>
  <c r="B21" i="2" s="1"/>
  <c r="C22" i="2"/>
  <c r="B22" i="2" s="1"/>
  <c r="C23" i="2"/>
  <c r="B23" i="2" s="1"/>
  <c r="C24" i="2"/>
  <c r="B24" i="2" s="1"/>
  <c r="C25" i="2"/>
  <c r="B25" i="2" s="1"/>
  <c r="C26" i="2"/>
  <c r="B26" i="2" s="1"/>
  <c r="C27" i="2"/>
  <c r="B27" i="2" s="1"/>
  <c r="C28" i="2"/>
  <c r="B28" i="2" s="1"/>
  <c r="C29" i="2"/>
  <c r="B29" i="2" s="1"/>
  <c r="C30" i="2"/>
  <c r="B30" i="2" s="1"/>
  <c r="C31" i="2"/>
  <c r="B31" i="2" s="1"/>
  <c r="C32" i="2"/>
  <c r="B32" i="2" s="1"/>
  <c r="C33" i="2"/>
  <c r="B33" i="2" s="1"/>
  <c r="C34" i="2"/>
  <c r="B34" i="2" s="1"/>
  <c r="C35" i="2"/>
  <c r="B35" i="2" s="1"/>
  <c r="C36" i="2"/>
  <c r="B36" i="2" s="1"/>
  <c r="C37" i="2"/>
  <c r="B37" i="2" s="1"/>
  <c r="C38" i="2"/>
  <c r="B38" i="2" s="1"/>
  <c r="C39" i="2"/>
  <c r="B39" i="2" s="1"/>
  <c r="C40" i="2"/>
  <c r="B40" i="2" s="1"/>
  <c r="C41" i="2"/>
  <c r="B41" i="2" s="1"/>
  <c r="C42" i="2"/>
  <c r="B42" i="2" s="1"/>
  <c r="C43" i="2"/>
  <c r="B43" i="2" s="1"/>
  <c r="C44" i="2"/>
  <c r="B44" i="2" s="1"/>
  <c r="C45" i="2"/>
  <c r="B45" i="2" s="1"/>
  <c r="C46" i="2"/>
  <c r="B46" i="2" s="1"/>
  <c r="C47" i="2"/>
  <c r="B47" i="2" s="1"/>
  <c r="C48" i="2"/>
  <c r="B48" i="2" s="1"/>
  <c r="C49" i="2"/>
  <c r="B49" i="2" s="1"/>
  <c r="C50" i="2"/>
  <c r="B50" i="2" s="1"/>
  <c r="C51" i="2"/>
  <c r="B51" i="2" s="1"/>
  <c r="C52" i="2"/>
  <c r="B52" i="2" s="1"/>
  <c r="C53" i="2"/>
  <c r="B53" i="2" s="1"/>
  <c r="C54" i="2"/>
  <c r="B54" i="2" s="1"/>
  <c r="C55" i="2"/>
  <c r="B55" i="2" s="1"/>
  <c r="C56" i="2"/>
  <c r="B56" i="2" s="1"/>
  <c r="C57" i="2"/>
  <c r="B57" i="2" s="1"/>
  <c r="C58" i="2"/>
  <c r="B58" i="2" s="1"/>
  <c r="C59" i="2"/>
  <c r="B59" i="2" s="1"/>
  <c r="C60" i="2"/>
  <c r="B60" i="2" s="1"/>
  <c r="C61" i="2"/>
  <c r="B61" i="2" s="1"/>
  <c r="C62" i="2"/>
  <c r="B62" i="2" s="1"/>
  <c r="C63" i="2"/>
  <c r="B63" i="2" s="1"/>
  <c r="C64" i="2"/>
  <c r="B64" i="2" s="1"/>
  <c r="C65" i="2"/>
  <c r="B65" i="2" s="1"/>
  <c r="C66" i="2"/>
  <c r="B66" i="2" s="1"/>
  <c r="C67" i="2"/>
  <c r="B67" i="2" s="1"/>
  <c r="C68" i="2"/>
  <c r="B68" i="2" s="1"/>
  <c r="C69" i="2"/>
  <c r="B69" i="2" s="1"/>
  <c r="C70" i="2"/>
  <c r="B70" i="2" s="1"/>
  <c r="C71" i="2"/>
  <c r="B71" i="2" s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17" i="3"/>
  <c r="E17" i="3"/>
  <c r="D22" i="3"/>
  <c r="E22" i="3"/>
  <c r="D23" i="3" l="1"/>
  <c r="D24" i="3"/>
  <c r="D25" i="3"/>
  <c r="D26" i="3"/>
  <c r="E23" i="3"/>
  <c r="E24" i="3"/>
  <c r="E25" i="3"/>
  <c r="E26" i="3"/>
  <c r="D13" i="3"/>
  <c r="D14" i="3"/>
  <c r="D15" i="3"/>
  <c r="D16" i="3"/>
  <c r="D18" i="3"/>
  <c r="D19" i="3"/>
  <c r="D20" i="3"/>
  <c r="D21" i="3"/>
  <c r="E13" i="3"/>
  <c r="E14" i="3"/>
  <c r="E15" i="3"/>
  <c r="E16" i="3"/>
  <c r="E18" i="3"/>
  <c r="E19" i="3"/>
  <c r="E20" i="3"/>
  <c r="E21" i="3"/>
  <c r="D8" i="3" l="1"/>
  <c r="D9" i="3"/>
  <c r="D10" i="3"/>
  <c r="D11" i="3"/>
  <c r="D12" i="3"/>
  <c r="E8" i="3"/>
  <c r="E9" i="3"/>
  <c r="E10" i="3"/>
  <c r="E11" i="3"/>
  <c r="E12" i="3"/>
  <c r="D5" i="3"/>
  <c r="D6" i="3"/>
  <c r="D7" i="3"/>
  <c r="E5" i="3"/>
  <c r="E6" i="3"/>
  <c r="E7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3" l="1"/>
  <c r="H7" i="9" s="1"/>
  <c r="M7" i="9" s="1"/>
  <c r="N7" i="9" s="1"/>
  <c r="M3" i="14"/>
  <c r="H8" i="9" s="1"/>
  <c r="M8" i="9" s="1"/>
  <c r="N8" i="9" s="1"/>
  <c r="C9" i="9"/>
  <c r="D7" i="9" s="1"/>
  <c r="I7" i="9" l="1"/>
  <c r="H9" i="9"/>
  <c r="H11" i="9" s="1"/>
  <c r="I8" i="9"/>
  <c r="D8" i="9"/>
  <c r="M9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I9" i="9"/>
  <c r="E9" i="9"/>
  <c r="F8" i="9" s="1"/>
  <c r="O7" i="9"/>
  <c r="P7" i="9" s="1"/>
  <c r="M11" i="9"/>
  <c r="N9" i="9"/>
  <c r="K7" i="9"/>
  <c r="C3" i="12"/>
  <c r="C6" i="9" s="1"/>
  <c r="C11" i="9" s="1"/>
  <c r="C13" i="9" s="1"/>
  <c r="M3" i="12"/>
  <c r="E6" i="9" s="1"/>
  <c r="N5" i="13"/>
  <c r="M5" i="14"/>
  <c r="N5" i="14" l="1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<sst xmlns="http://schemas.openxmlformats.org/spreadsheetml/2006/main" count="2694" uniqueCount="221">
  <si>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</si>
  <si>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</si>
  <si>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</si>
  <si>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</si>
  <si>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</si>
  <si>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</si>
  <si>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</si>
  <si>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</si>
  <si>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</si>
  <si>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</si>
  <si>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</si>
  <si>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</si>
  <si>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</si>
  <si>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</si>
  <si>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</si>
  <si>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</si>
  <si>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</si>
  <si>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</si>
  <si>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</si>
  <si>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</si>
  <si>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</si>
  <si>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</si>
  <si>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</si>
  <si>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</si>
  <si>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</si>
  <si>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</si>
  <si>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</si>
  <si>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</si>
  <si>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</si>
  <si>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</si>
  <si>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</si>
  <si>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</si>
  <si>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</si>
  <si>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</si>
  <si>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</si>
  <si>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</si>
  <si>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</si>
  <si>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</si>
  <si>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</si>
  <si>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</si>
  <si>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</si>
  <si>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</si>
  <si>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</si>
  <si>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</si>
  <si>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</si>
  <si>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</si>
  <si>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</si>
  <si>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</si>
  <si>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</si>
  <si>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</si>
  <si>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</si>
  <si>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</si>
  <si>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</si>
  <si>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</si>
  <si>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</si>
  <si>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</si>
  <si>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</si>
  <si>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</si>
  <si>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</si>
  <si>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</si>
  <si>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</si>
  <si>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</si>
  <si>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</si>
  <si>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MD</t>
  </si>
  <si>
    <t>AB</t>
  </si>
  <si>
    <t>---</t>
  </si>
  <si>
    <t>Sample Criteria:</t>
  </si>
  <si>
    <t>Clearing total Debit/Credit is higher than:</t>
  </si>
  <si>
    <r>
      <t xml:space="preserve">Supplier &amp; GL Clearings </t>
    </r>
    <r>
      <rPr>
        <sz val="9"/>
        <color theme="1"/>
        <rFont val="Arial"/>
        <family val="2"/>
      </rPr>
      <t>(Doc Types AB and ZV)</t>
    </r>
  </si>
  <si>
    <r>
      <t xml:space="preserve">Customer Clearings </t>
    </r>
    <r>
      <rPr>
        <sz val="9"/>
        <color theme="1"/>
        <rFont val="Arial"/>
        <family val="2"/>
      </rPr>
      <t>(Doc Type 4)</t>
    </r>
  </si>
  <si>
    <t>MM-YYYY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</si>
  <si>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</si>
  <si>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</si>
  <si>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</si>
  <si>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</si>
  <si>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0051414009</t>
  </si>
  <si>
    <t>0051414002</t>
  </si>
  <si>
    <t>0044110000</t>
  </si>
  <si>
    <t>0034880000</t>
  </si>
  <si>
    <t>0034210000</t>
  </si>
  <si>
    <t>0034240000</t>
  </si>
  <si>
    <t>0034211000</t>
  </si>
  <si>
    <t>0044210000</t>
  </si>
  <si>
    <t>0034110000</t>
  </si>
  <si>
    <t>0044150000</t>
  </si>
  <si>
    <t>0044151000</t>
  </si>
  <si>
    <t>0051410409</t>
  </si>
  <si>
    <t>0051411002</t>
  </si>
  <si>
    <t>0051411003</t>
  </si>
  <si>
    <t>0051412009</t>
  </si>
  <si>
    <t>0051412019</t>
  </si>
  <si>
    <t>0051414003</t>
  </si>
  <si>
    <t>0090199999</t>
  </si>
  <si>
    <t>0090299999</t>
  </si>
  <si>
    <t>0090599999</t>
  </si>
  <si>
    <t>0090699999</t>
  </si>
  <si>
    <t>0051411009</t>
  </si>
  <si>
    <t>CHECK</t>
  </si>
  <si>
    <t>JUSTIFICATION</t>
  </si>
  <si>
    <t>SUPPORTING DOC.</t>
  </si>
  <si>
    <t>SUPPORTING DOC. LOCATION</t>
  </si>
  <si>
    <t>AT01</t>
  </si>
  <si>
    <t>SHADDOUCH</t>
  </si>
  <si>
    <t>NELKHIYATI</t>
  </si>
  <si>
    <t>FB05</t>
  </si>
  <si>
    <t>Post with Clearing</t>
  </si>
  <si>
    <t>ZV</t>
  </si>
  <si>
    <t>Payment clearing</t>
  </si>
  <si>
    <t>COMPENSATION</t>
  </si>
  <si>
    <t>FOURNISSEURS</t>
  </si>
  <si>
    <t>NIZANAS HOLDING BIS</t>
  </si>
  <si>
    <t>DIVERS DEBITEUR</t>
  </si>
  <si>
    <t>IRIS BETON</t>
  </si>
  <si>
    <t>SOCIETE BIRAK DE TRANSPORT DE MARCH</t>
  </si>
  <si>
    <t>ZARTA TRANS</t>
  </si>
  <si>
    <t>ZARTA TRANS SARLAU</t>
  </si>
  <si>
    <t>HIND BETON</t>
  </si>
  <si>
    <t>HIND BETON SARL</t>
  </si>
  <si>
    <t>STE TRANS DRISSIA BETON</t>
  </si>
  <si>
    <t>STE TRANS DRISSIA BETON SARLU</t>
  </si>
  <si>
    <t>COMPENSATIONc</t>
  </si>
  <si>
    <t>AFRIC POIDS LOURDS</t>
  </si>
  <si>
    <t>MULTI COL TRANS</t>
  </si>
  <si>
    <t>POOL TRANSPORT</t>
  </si>
  <si>
    <t>LAMD TRANSPORT</t>
  </si>
  <si>
    <t>LOGISTIC AZTA SARL</t>
  </si>
  <si>
    <t>LOGISTIC AZTA</t>
  </si>
  <si>
    <t>BRIOUAL BETON</t>
  </si>
  <si>
    <t>2K2Z SARL</t>
  </si>
  <si>
    <t>TRANS ZINEELABIDINEN SARL</t>
  </si>
  <si>
    <t>TRANS ZINEELABIDINE SARL</t>
  </si>
  <si>
    <t>LA SOCIETE AMARNA DE TRANSPORT DEMA</t>
  </si>
  <si>
    <t>SOCIETE AMARNA DE TRANSPORT DEMARCH</t>
  </si>
  <si>
    <t>ODELLA BETON</t>
  </si>
  <si>
    <t>MOUJOUD TRANS</t>
  </si>
  <si>
    <t>TOTAL BETON SARL</t>
  </si>
  <si>
    <t>TOTAL BETON</t>
  </si>
  <si>
    <t>NEGOCE ELHAJJI SARL</t>
  </si>
  <si>
    <t>MALABO TRANS  SARL</t>
  </si>
  <si>
    <t>MALABO TRANS SARL</t>
  </si>
  <si>
    <t>SOCIETE SECAV</t>
  </si>
  <si>
    <t>SECAV</t>
  </si>
  <si>
    <t>AT02</t>
  </si>
  <si>
    <t>HQARBAL</t>
  </si>
  <si>
    <t>STE OMEGA ROUTE</t>
  </si>
  <si>
    <t>CLIENTS</t>
  </si>
  <si>
    <t>OMEGA ROUTE</t>
  </si>
  <si>
    <t>BT03</t>
  </si>
  <si>
    <t>STE M2A DES MATERIAUX DE CONSTRUCTI</t>
  </si>
  <si>
    <t>M2A</t>
  </si>
  <si>
    <t>STE NEON TRANS</t>
  </si>
  <si>
    <t xml:space="preserve"> STE NEON TRANS</t>
  </si>
  <si>
    <t>STE HDIRICH DE TRAVAUX DIVERS SARL</t>
  </si>
  <si>
    <t>HDIRICH DE TRAVAUX DIVERS</t>
  </si>
  <si>
    <t>Vacío</t>
  </si>
  <si>
    <t>To Analyze</t>
  </si>
  <si>
    <t>ZV-44110000</t>
  </si>
  <si>
    <t>ZV-FB05-AT01-2000001843</t>
  </si>
  <si>
    <t>2000001843</t>
  </si>
  <si>
    <t>ZV-34880000</t>
  </si>
  <si>
    <t>ZV-FB05-AT01-2000002051</t>
  </si>
  <si>
    <t>2000002051</t>
  </si>
  <si>
    <t>ZV-FB05-AT01-2000002052</t>
  </si>
  <si>
    <t>2000002052</t>
  </si>
  <si>
    <t>ZV-FB05-AT01-2000002208</t>
  </si>
  <si>
    <t>2000002208</t>
  </si>
  <si>
    <t>ZV-FB05-AT01-2000002209</t>
  </si>
  <si>
    <t>2000002209</t>
  </si>
  <si>
    <t>ZV-FB05-AT01-2000002210</t>
  </si>
  <si>
    <t>2000002210</t>
  </si>
  <si>
    <t>ZV-FB05-AT01-2000002211</t>
  </si>
  <si>
    <t>2000002211</t>
  </si>
  <si>
    <t>ZV-FB05-AT01-2000002965</t>
  </si>
  <si>
    <t>2000002965</t>
  </si>
  <si>
    <t>ZV-FB05-AT01-2000002966</t>
  </si>
  <si>
    <t>2000002966</t>
  </si>
  <si>
    <t>ZV-FB05-AT01-2000002967</t>
  </si>
  <si>
    <t>2000002967</t>
  </si>
  <si>
    <t>ZV-FB05-AT01-2000002968</t>
  </si>
  <si>
    <t>2000002968</t>
  </si>
  <si>
    <t>ZV-FB05-AT01-2000002969</t>
  </si>
  <si>
    <t>2000002969</t>
  </si>
  <si>
    <t>ZV-FB05-AT01-2000002970</t>
  </si>
  <si>
    <t>2000002970</t>
  </si>
  <si>
    <t>ZV-FB05-AT01-2000002971</t>
  </si>
  <si>
    <t>2000002971</t>
  </si>
  <si>
    <t>ZV-FB05-AT01-2000002972</t>
  </si>
  <si>
    <t>2000002972</t>
  </si>
  <si>
    <t>ZV-FB05-AT01-2000002973</t>
  </si>
  <si>
    <t>2000002973</t>
  </si>
  <si>
    <t>ZV-FB05-AT01-2000003089</t>
  </si>
  <si>
    <t>2000003089</t>
  </si>
  <si>
    <t>ZV-FB05-AT01-2000003090</t>
  </si>
  <si>
    <t>2000003090</t>
  </si>
  <si>
    <t>ZV-FB05-AT01-2000003091</t>
  </si>
  <si>
    <t>2000003091</t>
  </si>
  <si>
    <t>ZV-FB05-AT01-2000003092</t>
  </si>
  <si>
    <t>2000003092</t>
  </si>
  <si>
    <t>ZV-FB05-AT01-2000003093</t>
  </si>
  <si>
    <t>2000003093</t>
  </si>
  <si>
    <t>ZV-FB05-AT01-2000003094</t>
  </si>
  <si>
    <t>2000003094</t>
  </si>
  <si>
    <t>ZV-FB05-AT01-2000003095</t>
  </si>
  <si>
    <t>2000003095</t>
  </si>
  <si>
    <t>ZV-FB05-AT01-2000003096</t>
  </si>
  <si>
    <t>2000003096</t>
  </si>
  <si>
    <t>ZV-FB05-AT01-2000003190</t>
  </si>
  <si>
    <t>2000003190</t>
  </si>
  <si>
    <t>ZV-FB05-AT01-2000003266</t>
  </si>
  <si>
    <t>2000003266</t>
  </si>
  <si>
    <t>ZV-FB05-AT01-2000003426</t>
  </si>
  <si>
    <t>2000003426</t>
  </si>
  <si>
    <t>ZV-FB05-AT02-2000000157</t>
  </si>
  <si>
    <t>2000000157</t>
  </si>
  <si>
    <t>ZV-34210000</t>
  </si>
  <si>
    <t>ZV-FB05-BT03-2000000199</t>
  </si>
  <si>
    <t>2000000199</t>
  </si>
  <si>
    <t>ZV-FB05-BT03-2000000209</t>
  </si>
  <si>
    <t>2000000209</t>
  </si>
  <si>
    <t>ZV-FB05-BT03-2000000214</t>
  </si>
  <si>
    <t>2000000214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</si>
</sst>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5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1" fillId="0" borderId="0"/>
  </cellStyleXfs>
  <cellXfs count="201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164" fontId="2" fillId="0" borderId="4" xfId="0" applyNumberFormat="1" applyFont="1" applyBorder="1"/>
    <xf numFmtId="0" fontId="18" fillId="18" borderId="7" xfId="0" applyFont="1" applyFill="1" applyBorder="1"/>
    <xf numFmtId="164" fontId="19" fillId="12" borderId="38" xfId="0" applyNumberFormat="1" applyFont="1" applyFill="1" applyBorder="1"/>
    <xf numFmtId="0" fontId="19" fillId="12" borderId="9" xfId="0" applyFont="1" applyFill="1" applyBorder="1" applyAlignment="1">
      <alignment horizontal="center"/>
    </xf>
    <xf numFmtId="0" fontId="8" fillId="6" borderId="0" xfId="0" applyFont="1" applyFill="1"/>
    <xf numFmtId="0" fontId="20" fillId="0" borderId="1" xfId="0" applyFont="1" applyBorder="1"/>
    <xf numFmtId="2" fontId="2" fillId="0" borderId="4" xfId="0" applyNumberFormat="1" applyFont="1" applyBorder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quotePrefix="1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5" borderId="42" xfId="0" applyNumberFormat="1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center"/>
    </xf>
    <xf numFmtId="0" fontId="2" fillId="0" borderId="43" xfId="0" applyFont="1" applyBorder="1"/>
    <xf numFmtId="14" fontId="2" fillId="0" borderId="43" xfId="0" applyNumberFormat="1" applyFont="1" applyBorder="1"/>
    <xf numFmtId="164" fontId="2" fillId="0" borderId="43" xfId="0" applyNumberFormat="1" applyFont="1" applyBorder="1"/>
    <xf numFmtId="2" fontId="2" fillId="0" borderId="43" xfId="0" applyNumberFormat="1" applyFont="1" applyBorder="1"/>
    <xf numFmtId="0" fontId="2" fillId="0" borderId="45" xfId="0" applyFont="1" applyBorder="1"/>
    <xf numFmtId="0" fontId="2" fillId="0" borderId="0" xfId="0" applyNumberFormat="1" applyFont="1" applyAlignment="1">
      <alignment horizontal="center"/>
    </xf>
    <xf numFmtId="0" fontId="2" fillId="0" borderId="0" xfId="0" applyNumberFormat="1" applyFont="1"/>
    <xf numFmtId="0" fontId="2" fillId="10" borderId="0" xfId="0" applyNumberFormat="1" applyFont="1" applyFill="1" applyBorder="1" applyAlignment="1">
      <alignment horizontal="center"/>
    </xf>
    <xf numFmtId="0" fontId="2" fillId="0" borderId="41" xfId="0" applyFont="1" applyBorder="1" applyAlignment="1">
      <alignment horizontal="left" vertical="center" wrapText="1"/>
    </xf>
    <xf numFmtId="0" fontId="2" fillId="0" borderId="4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0" fontId="2" fillId="0" borderId="46" xfId="0" applyFont="1" applyBorder="1"/>
    <xf numFmtId="0" fontId="2" fillId="0" borderId="46" xfId="0" applyFont="1" applyBorder="1" applyAlignment="1">
      <alignment horizontal="center"/>
    </xf>
    <xf numFmtId="0" fontId="2" fillId="10" borderId="46" xfId="0" applyNumberFormat="1" applyFont="1" applyFill="1" applyBorder="1" applyAlignment="1">
      <alignment horizontal="center"/>
    </xf>
    <xf numFmtId="14" fontId="2" fillId="0" borderId="46" xfId="0" applyNumberFormat="1" applyFont="1" applyBorder="1" applyAlignment="1">
      <alignment horizontal="center"/>
    </xf>
    <xf numFmtId="0" fontId="0" fillId="0" borderId="46" xfId="0" applyBorder="1"/>
    <xf numFmtId="164" fontId="2" fillId="0" borderId="46" xfId="0" applyNumberFormat="1" applyFont="1" applyBorder="1"/>
    <xf numFmtId="0" fontId="2" fillId="0" borderId="46" xfId="0" applyFont="1" applyBorder="1" applyAlignment="1">
      <alignment horizontal="left" vertical="center" wrapText="1"/>
    </xf>
    <xf numFmtId="0" fontId="2" fillId="0" borderId="46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1" xfId="0" applyFont="1" applyBorder="1" applyAlignment="1">
      <alignment horizontal="left" vertical="center" wrapText="1"/>
    </xf>
    <xf numFmtId="0" fontId="2" fillId="0" borderId="50" xfId="0" applyFont="1" applyBorder="1" applyAlignment="1">
      <alignment horizontal="left" vertical="center" wrapText="1"/>
    </xf>
    <xf numFmtId="0" fontId="2" fillId="0" borderId="52" xfId="0" applyFont="1" applyBorder="1" applyAlignment="1">
      <alignment horizontal="left" vertical="center" wrapText="1"/>
    </xf>
    <xf numFmtId="0" fontId="2" fillId="0" borderId="54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/>
    </xf>
    <xf numFmtId="0" fontId="2" fillId="0" borderId="53" xfId="0" applyNumberFormat="1" applyFont="1" applyBorder="1" applyAlignment="1">
      <alignment horizontal="center"/>
    </xf>
    <xf numFmtId="14" fontId="2" fillId="0" borderId="53" xfId="0" applyNumberFormat="1" applyFont="1" applyBorder="1" applyAlignment="1">
      <alignment horizontal="center"/>
    </xf>
    <xf numFmtId="0" fontId="2" fillId="0" borderId="53" xfId="0" applyFont="1" applyBorder="1"/>
    <xf numFmtId="0" fontId="2" fillId="0" borderId="53" xfId="0" applyNumberFormat="1" applyFont="1" applyBorder="1"/>
    <xf numFmtId="0" fontId="0" fillId="0" borderId="53" xfId="0" applyBorder="1"/>
    <xf numFmtId="164" fontId="2" fillId="0" borderId="53" xfId="0" applyNumberFormat="1" applyFont="1" applyBorder="1"/>
    <xf numFmtId="0" fontId="2" fillId="0" borderId="53" xfId="0" applyFont="1" applyBorder="1" applyAlignment="1">
      <alignment horizontal="center" vertical="center"/>
    </xf>
    <xf numFmtId="0" fontId="2" fillId="0" borderId="53" xfId="0" applyFont="1" applyBorder="1" applyAlignment="1">
      <alignment horizontal="left" vertical="center" wrapText="1"/>
    </xf>
    <xf numFmtId="0" fontId="2" fillId="0" borderId="55" xfId="0" applyFont="1" applyBorder="1" applyAlignment="1">
      <alignment horizontal="left" vertical="center" wrapText="1"/>
    </xf>
    <xf numFmtId="0" fontId="2" fillId="0" borderId="54" xfId="0" applyFont="1" applyBorder="1"/>
    <xf numFmtId="0" fontId="2" fillId="0" borderId="53" xfId="0" applyFont="1" applyBorder="1" applyAlignment="1">
      <alignment horizontal="center" vertical="center"/>
    </xf>
    <xf numFmtId="0" fontId="2" fillId="0" borderId="53" xfId="0" applyFont="1" applyBorder="1" applyAlignment="1">
      <alignment horizontal="left" vertical="center" wrapText="1"/>
    </xf>
    <xf numFmtId="0" fontId="2" fillId="0" borderId="55" xfId="0" applyFont="1" applyBorder="1" applyAlignment="1">
      <alignment horizontal="left" vertical="center" wrapText="1"/>
    </xf>
  </cellXfs>
  <cellStyles count="3">
    <cellStyle name="Normal" xfId="0" builtinId="0"/>
    <cellStyle name="Normal 2" xfId="2" xr:uid="{5BD14C04-84C6-42BE-A6C5-BA530F064655}"/>
    <cellStyle name="Percent" xfId="1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71" totalsRowShown="0" headerRowDxfId="242" dataDxfId="240" headerRowBorderDxfId="241" tableBorderDxfId="239" totalsRowBorderDxfId="238">
  <autoFilter ref="B4:AM71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19" xr3:uid="{5C7046DD-9F9D-4832-93E9-8B82B4760F9E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26" totalsRowShown="0" headerRowDxfId="199">
  <autoFilter ref="B3:E26" xr:uid="{1614D3BB-F78A-4141-85F7-658122C2B5F0}"/>
  <sortState xmlns:xlrd2="http://schemas.microsoft.com/office/spreadsheetml/2017/richdata2" ref="B4:E26">
    <sortCondition ref="D3:D26"/>
  </sortState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72" tableType="queryTable" totalsRowShown="0" headerRowDxfId="194" dataDxfId="192" headerRowBorderDxfId="193" tableBorderDxfId="191">
  <autoFilter ref="B5:AM72" xr:uid="{EC7B6FFB-6FD6-426C-85D8-5DEE3CDA53E4}"/>
  <tableColumns count="38">
    <tableColumn id="1" xr3:uid="{6083B86E-D5C4-40E2-9B72-74467D4C1F57}" uniqueName="1" name="Tier" queryTableFieldId="1" dataDxfId="158"/>
    <tableColumn id="2" xr3:uid="{BE7C02FE-A5D1-41DA-90D1-A1BE76CA7855}" uniqueName="2" name="Type + G/L Acc" queryTableFieldId="2" dataDxfId="157"/>
    <tableColumn id="3" xr3:uid="{140FA074-77A6-4725-B841-12B106C315A2}" uniqueName="3" name="Type + TCode + Co + Doc N" queryTableFieldId="3" dataDxfId="156"/>
    <tableColumn id="4" xr3:uid="{4EE114A8-7399-4516-8FD3-C5B841B001C5}" uniqueName="4" name="CoCd" queryTableFieldId="4" dataDxfId="155"/>
    <tableColumn id="5" xr3:uid="{600B3FDB-DC9A-4A55-87ED-1CD3AEEE2204}" uniqueName="5" name="Manager" queryTableFieldId="5" dataDxfId="154"/>
    <tableColumn id="6" xr3:uid="{85B18274-51FC-4493-A887-D14210EF765E}" uniqueName="6" name="User" queryTableFieldId="6" dataDxfId="153"/>
    <tableColumn id="7" xr3:uid="{148C64CE-5136-403B-BA82-57D6D8C78DB1}" uniqueName="7" name="TCode" queryTableFieldId="7" dataDxfId="152"/>
    <tableColumn id="8" xr3:uid="{C22E0312-1AC3-4FC1-9615-A0F8373627C0}" uniqueName="8" name="Text" queryTableFieldId="8" dataDxfId="151"/>
    <tableColumn id="9" xr3:uid="{1A859F5A-E9C9-4DF7-9D98-DA5BF66F771D}" uniqueName="9" name="Type" queryTableFieldId="9" dataDxfId="150"/>
    <tableColumn id="10" xr3:uid="{0C16A6B9-77EF-4196-89AB-C905D748E91C}" uniqueName="10" name="Document Descr." queryTableFieldId="10" dataDxfId="149"/>
    <tableColumn id="11" xr3:uid="{07387BFF-680D-4D06-85B3-93A577E7BD6A}" uniqueName="11" name="DocumentNo" queryTableFieldId="11" dataDxfId="148"/>
    <tableColumn id="12" xr3:uid="{953E660F-B95F-43CF-A918-D955CF15331C}" uniqueName="12" name="Doc. Date" queryTableFieldId="12" dataDxfId="147"/>
    <tableColumn id="13" xr3:uid="{6455015D-BF65-4B75-8475-AFE84EA7B942}" uniqueName="13" name="Entry date" queryTableFieldId="13" dataDxfId="146"/>
    <tableColumn id="14" xr3:uid="{96C653E8-0E64-4739-9905-27F86560FB45}" uniqueName="14" name="Effect date" queryTableFieldId="14" dataDxfId="145"/>
    <tableColumn id="15" xr3:uid="{9D66D605-EBD5-406D-BB32-636EA102C6CE}" uniqueName="15" name="Doc.Header Text" queryTableFieldId="15" dataDxfId="144"/>
    <tableColumn id="16" xr3:uid="{7AB97F24-365A-4F92-AF95-A4B93BA694A2}" uniqueName="16" name="Reference" queryTableFieldId="16" dataDxfId="143"/>
    <tableColumn id="17" xr3:uid="{01C74F12-4DF7-4548-9A94-482D00FF6D34}" uniqueName="17" name="Sess. Name" queryTableFieldId="17" dataDxfId="142"/>
    <tableColumn id="18" xr3:uid="{367B793C-C468-48F2-B9A7-A266875B043A}" uniqueName="18" name="Total Deb./Cred." queryTableFieldId="18" dataDxfId="141"/>
    <tableColumn id="19" xr3:uid="{E004D71C-50EE-4337-A452-62AA46111D95}" uniqueName="19" name="Total Deb./Cred.(ML3" queryTableFieldId="19" dataDxfId="140"/>
    <tableColumn id="20" xr3:uid="{B8ABA870-2972-4C57-87C2-932D990539DD}" uniqueName="20" name="Itm" queryTableFieldId="20" dataDxfId="139"/>
    <tableColumn id="21" xr3:uid="{C3F122CB-C29C-4A65-8471-BBBCDFD48E83}" uniqueName="21" name="PK" queryTableFieldId="21" dataDxfId="138"/>
    <tableColumn id="22" xr3:uid="{FAAB998E-1AE5-4134-BC6D-5365AEAB4887}" uniqueName="22" name="CME" queryTableFieldId="22" dataDxfId="137"/>
    <tableColumn id="23" xr3:uid="{787CEAF0-4551-4D4D-A4C1-8154A28981F1}" uniqueName="23" name="G/L Account" queryTableFieldId="23" dataDxfId="136"/>
    <tableColumn id="24" xr3:uid="{66B24793-E328-40C2-8448-1EBE23FA9228}" uniqueName="24" name="G/L Account Descr." queryTableFieldId="24" dataDxfId="135"/>
    <tableColumn id="25" xr3:uid="{B940B77C-96A1-4437-B11A-C3DEA0A5C49B}" uniqueName="25" name="   Debit amount" queryTableFieldId="25" dataDxfId="134"/>
    <tableColumn id="26" xr3:uid="{377192F0-D1A1-42E0-8BE2-6C4294705549}" uniqueName="26" name="Debit amount(ML3)" queryTableFieldId="26" dataDxfId="133"/>
    <tableColumn id="27" xr3:uid="{A1F4F420-EBED-4FA7-B405-1A8301C86771}" uniqueName="27" name="  Credit amount" queryTableFieldId="27" dataDxfId="132"/>
    <tableColumn id="28" xr3:uid="{607917B4-551A-4A53-87FC-89CC2D9DF34E}" uniqueName="28" name="Credit amount(ML3)" queryTableFieldId="28" dataDxfId="131"/>
    <tableColumn id="29" xr3:uid="{33FD47AB-EB01-4A70-B80E-31D2FF1DCA1C}" uniqueName="29" name="Line Comment" queryTableFieldId="29" dataDxfId="130"/>
    <tableColumn id="30" xr3:uid="{88C9430E-0491-47B0-B63C-361FB75C05E7}" uniqueName="30" name="BARCODE" queryTableFieldId="30" dataDxfId="129"/>
    <tableColumn id="31" xr3:uid="{AAF9AD49-F067-45D0-97B7-833F7CBFC6EA}" uniqueName="31" name="Cost Ctr" queryTableFieldId="31" dataDxfId="128"/>
    <tableColumn id="32" xr3:uid="{EDEAF1E1-DD01-4A68-B03D-08DD04833380}" uniqueName="32" name="Profit Ctr" queryTableFieldId="32" dataDxfId="127"/>
    <tableColumn id="33" xr3:uid="{9F399E1C-C1CF-453C-97C3-4494D18456A3}" uniqueName="33" name="Order" queryTableFieldId="33" dataDxfId="126"/>
    <tableColumn id="34" xr3:uid="{24B15250-BE6D-48AD-A01F-DF84A1E08940}" uniqueName="34" name="Cost Ctr Desc." queryTableFieldId="34" dataDxfId="125"/>
    <tableColumn id="35" xr3:uid="{1742526A-C13D-4191-836C-0B8597169DFA}" uniqueName="35" name="Profit Ctr Desc" queryTableFieldId="35" dataDxfId="124"/>
    <tableColumn id="36" xr3:uid="{916267C2-908B-407C-809B-CE09948C6EBE}" uniqueName="36" name="Order Desc." queryTableFieldId="36" dataDxfId="123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36" tableType="queryTable" totalsRowShown="0" headerRowDxfId="190" dataDxfId="188" headerRowBorderDxfId="189" tableBorderDxfId="187">
  <autoFilter ref="B5:M36" xr:uid="{958BDE0C-3B01-45F3-A9C7-EE519B8E2162}"/>
  <tableColumns count="12">
    <tableColumn id="1" xr3:uid="{691409F7-D3EE-4837-9F61-B2BE5DCC04D2}" uniqueName="1" name="Tier" queryTableFieldId="1" dataDxfId="122"/>
    <tableColumn id="2" xr3:uid="{A1DF3D26-0C17-4B53-8C01-82043FF95C1B}" uniqueName="2" name="Type + TCode + Co + Doc N" queryTableFieldId="2" dataDxfId="121"/>
    <tableColumn id="3" xr3:uid="{6970765E-153A-4F32-B7AA-269948D4A746}" uniqueName="3" name="CoCd" queryTableFieldId="3" dataDxfId="120"/>
    <tableColumn id="4" xr3:uid="{971ACAE9-4442-4F04-AAF4-2B0DFCF69861}" uniqueName="4" name="Manager" queryTableFieldId="4" dataDxfId="119"/>
    <tableColumn id="5" xr3:uid="{9275B5F8-F89C-4EDC-8163-E8AAF87767E9}" uniqueName="5" name="User" queryTableFieldId="5" dataDxfId="118"/>
    <tableColumn id="6" xr3:uid="{9594C496-4363-4040-9E43-189BDF881D7E}" uniqueName="6" name="TCode" queryTableFieldId="6" dataDxfId="117"/>
    <tableColumn id="7" xr3:uid="{1ECE3D88-71E8-4567-B005-BE91EA00FFC9}" uniqueName="7" name="Text" queryTableFieldId="7" dataDxfId="116"/>
    <tableColumn id="8" xr3:uid="{12041F88-110D-48AD-96FF-525011058C41}" uniqueName="8" name="Type" queryTableFieldId="8" dataDxfId="115"/>
    <tableColumn id="9" xr3:uid="{36AA9291-0362-4190-B996-AED6CCBEDB2C}" uniqueName="9" name="DocumentNo" queryTableFieldId="9" dataDxfId="114"/>
    <tableColumn id="10" xr3:uid="{45103D8D-FDFE-415D-BE50-35E5C3D07046}" uniqueName="10" name="Effect date" queryTableFieldId="10" dataDxfId="113"/>
    <tableColumn id="11" xr3:uid="{102F5538-D316-476B-80F1-DA41FE5CFCEC}" uniqueName="11" name="Doc.Header Text" queryTableFieldId="11" dataDxfId="112"/>
    <tableColumn id="12" xr3:uid="{82C0BB93-D2AD-4E4A-B8DA-5334DB366D42}" uniqueName="12" name="Total Deb./Cred." queryTableFieldId="12" dataDxfId="11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86" dataDxfId="184" headerRowBorderDxfId="185" tableBorderDxfId="183">
  <autoFilter ref="B5:N6" xr:uid="{F1A33F38-3D90-4A39-99DD-296A1CA6E61F}"/>
  <tableColumns count="13">
    <tableColumn id="1" xr3:uid="{0CDDB4AD-8BA7-4938-B760-8B955CA121B5}" uniqueName="1" name="Tier" queryTableFieldId="1" dataDxfId="110"/>
    <tableColumn id="2" xr3:uid="{9E502843-6B82-49F6-AED7-054B33AD1F96}" uniqueName="2" name="Type + TCode + Co + Doc N" queryTableFieldId="2" dataDxfId="109"/>
    <tableColumn id="3" xr3:uid="{1EB9073B-FCF7-4A5E-947E-EB377BE753D5}" uniqueName="3" name="CoCd" queryTableFieldId="3" dataDxfId="108"/>
    <tableColumn id="4" xr3:uid="{1FECC6D8-C527-4B13-A363-F4A07A6B3645}" uniqueName="4" name="Manager" queryTableFieldId="4" dataDxfId="107"/>
    <tableColumn id="5" xr3:uid="{4A2F3FB8-C819-4504-BCF9-C97AE136D822}" uniqueName="5" name="User" queryTableFieldId="5" dataDxfId="106"/>
    <tableColumn id="6" xr3:uid="{856C87EB-F09E-4AC9-A871-10D2C9B4A571}" uniqueName="6" name="TCode" queryTableFieldId="6" dataDxfId="105"/>
    <tableColumn id="7" xr3:uid="{0A6C3490-96A0-4877-9AB5-FF9E482222DD}" uniqueName="7" name="Text" queryTableFieldId="7" dataDxfId="104"/>
    <tableColumn id="8" xr3:uid="{375AB973-8CDA-4CAC-89E8-4D97D89E2780}" uniqueName="8" name="Type" queryTableFieldId="8" dataDxfId="103"/>
    <tableColumn id="9" xr3:uid="{E7D834FF-D448-4E58-B0CE-E51115393791}" uniqueName="9" name="DocumentNo" queryTableFieldId="9" dataDxfId="102"/>
    <tableColumn id="10" xr3:uid="{3F61D304-D064-495E-A08F-7BE3FAB33F38}" uniqueName="10" name="Effect date" queryTableFieldId="10" dataDxfId="101"/>
    <tableColumn id="11" xr3:uid="{192EDD28-173B-4C13-8A7C-BE27A7D84C13}" uniqueName="11" name="Doc.Header Text" queryTableFieldId="11" dataDxfId="100"/>
    <tableColumn id="12" xr3:uid="{CBB79FB5-76E4-441D-B439-60B73E016446}" uniqueName="12" name="Total Deb./Cred." queryTableFieldId="12" dataDxfId="99"/>
    <tableColumn id="13" xr3:uid="{9CCA5F46-EC35-4349-9EB6-94DC5CA4627A}" uniqueName="13" name="Counts" queryTableFieldId="13" dataDxfId="9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82" dataDxfId="180" headerRowBorderDxfId="181" tableBorderDxfId="179">
  <autoFilter ref="B7:M8" xr:uid="{C0453726-6800-40BE-8A3B-53AFA49BCB80}"/>
  <tableColumns count="12">
    <tableColumn id="2" xr3:uid="{8561B1C9-94E1-43AE-9912-1ED91410456E}" uniqueName="2" name="Type + TCode + Co + Doc N" queryTableFieldId="2" dataDxfId="97"/>
    <tableColumn id="3" xr3:uid="{9704A0CB-DC65-4612-889A-F518BF950D00}" uniqueName="3" name="CoCd" queryTableFieldId="3" dataDxfId="96"/>
    <tableColumn id="4" xr3:uid="{0F167627-0076-40B3-8B3F-CEAD9598EBE6}" uniqueName="4" name="Manager" queryTableFieldId="4" dataDxfId="95"/>
    <tableColumn id="5" xr3:uid="{CF658E6D-12C7-4026-BE07-70FA901AAAD5}" uniqueName="5" name="User" queryTableFieldId="5" dataDxfId="94"/>
    <tableColumn id="6" xr3:uid="{7B82FFC7-1B9D-44E1-BFC3-E4A25CCE4D47}" uniqueName="6" name="TCode" queryTableFieldId="6" dataDxfId="93"/>
    <tableColumn id="7" xr3:uid="{72A59979-8465-41D5-BC74-C307E8930C14}" uniqueName="7" name="Text" queryTableFieldId="7" dataDxfId="92"/>
    <tableColumn id="8" xr3:uid="{4B225505-FA7F-4D88-B159-371A0CCEE9E8}" uniqueName="8" name="Type" queryTableFieldId="8" dataDxfId="91"/>
    <tableColumn id="9" xr3:uid="{7B470DF4-4286-4BBF-B12C-82538CE3B4FC}" uniqueName="9" name="DocumentNo" queryTableFieldId="9" dataDxfId="90"/>
    <tableColumn id="10" xr3:uid="{FCB7F069-3BC8-4187-91D8-A816BC236A3C}" uniqueName="10" name="Effect date" queryTableFieldId="10" dataDxfId="89"/>
    <tableColumn id="11" xr3:uid="{4DDA498E-871C-4C58-B491-6B10F0427E59}" uniqueName="11" name="Doc.Header Text" queryTableFieldId="11" dataDxfId="88"/>
    <tableColumn id="12" xr3:uid="{E3190F25-2EB1-4A1F-9D88-D7A2422F1BDF}" uniqueName="12" name="Total Deb./Cred." queryTableFieldId="12" dataDxfId="87"/>
    <tableColumn id="13" xr3:uid="{5846501A-5ED7-419D-94FF-95EF4141DEE6}" uniqueName="13" name="Sampling" queryTableFieldId="13" dataDxfId="86">
      <calculatedColumnFormula>+IF(AR[[#This Row],[Total Deb./Cred.]]&gt;Summary!$C$21,"Sample","-")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38" tableType="queryTable" totalsRowShown="0" headerRowDxfId="178" dataDxfId="176" headerRowBorderDxfId="177" tableBorderDxfId="175">
  <autoFilter ref="B7:M38" xr:uid="{BCCE6735-6E09-4B25-A146-5C4FFEB82CBC}"/>
  <tableColumns count="12">
    <tableColumn id="1" xr3:uid="{24102BBA-62ED-47E8-8139-BCEA3077904E}" uniqueName="1" name="Type + TCode + Co + Doc N" queryTableFieldId="1" dataDxfId="85"/>
    <tableColumn id="2" xr3:uid="{DCE318E4-84F8-4244-AE32-46C5435570D5}" uniqueName="2" name="CoCd" queryTableFieldId="2" dataDxfId="84"/>
    <tableColumn id="3" xr3:uid="{950EDB82-F931-4D95-B498-AE39720BA3B1}" uniqueName="3" name="Manager" queryTableFieldId="3" dataDxfId="83"/>
    <tableColumn id="4" xr3:uid="{FB04AFF1-F10A-4B25-BF3A-47A2D27FAE2A}" uniqueName="4" name="User" queryTableFieldId="4" dataDxfId="82"/>
    <tableColumn id="5" xr3:uid="{69A5899F-0096-4BB6-9DCD-F793F7E52BE4}" uniqueName="5" name="TCode" queryTableFieldId="5" dataDxfId="81"/>
    <tableColumn id="6" xr3:uid="{7C02F032-F220-400A-B577-44C4ABA58729}" uniqueName="6" name="Text" queryTableFieldId="6" dataDxfId="80"/>
    <tableColumn id="7" xr3:uid="{40EAB9A0-8DF7-414A-AE9F-53380A61BD4C}" uniqueName="7" name="Type" queryTableFieldId="7" dataDxfId="79"/>
    <tableColumn id="8" xr3:uid="{78A1F9AC-657D-4DCF-81C7-B483477F6737}" uniqueName="8" name="DocumentNo" queryTableFieldId="8" dataDxfId="78"/>
    <tableColumn id="9" xr3:uid="{354AACDD-36AD-4142-924D-A65F46205B78}" uniqueName="9" name="Effect date" queryTableFieldId="9" dataDxfId="77"/>
    <tableColumn id="10" xr3:uid="{9CA15074-30ED-42A8-B58D-E2179CEA0959}" uniqueName="10" name="Doc.Header Text" queryTableFieldId="10" dataDxfId="76"/>
    <tableColumn id="11" xr3:uid="{DB5D7C1E-2038-4EB0-A0B7-64DF467094BB}" uniqueName="11" name="Total Deb./Cred." queryTableFieldId="11" dataDxfId="75"/>
    <tableColumn id="12" xr3:uid="{3F8F0941-0C22-428C-B6A9-061C24CF2FDD}" uniqueName="12" name="Sampling" queryTableFieldId="12" dataDxfId="74">
      <calculatedColumnFormula>+IF(AP[[#This Row],[Total Deb./Cred.]]&gt;Summary!$C$21,"Sample","-")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74" dataDxfId="172" headerRowBorderDxfId="173" tableBorderDxfId="171">
  <autoFilter ref="C5:W6" xr:uid="{CB784C26-1213-4F59-BC7B-839A2B3FA805}"/>
  <tableColumns count="21">
    <tableColumn id="2" xr3:uid="{8CEAD4ED-5649-4591-9C6B-99D9D0A5C84F}" uniqueName="2" name="CoCd" queryTableFieldId="2" dataDxfId="18"/>
    <tableColumn id="3" xr3:uid="{1390F931-9B3C-4EC8-9AB2-084CFE68F05C}" uniqueName="3" name="Manager" queryTableFieldId="3" dataDxfId="17"/>
    <tableColumn id="4" xr3:uid="{69EAF73B-7AA3-4C35-A69D-14CB58484CA3}" uniqueName="4" name="User" queryTableFieldId="4" dataDxfId="16"/>
    <tableColumn id="5" xr3:uid="{A7383E71-F2AB-4684-AB14-3E7FEA3A76B3}" uniqueName="5" name="TCode" queryTableFieldId="5" dataDxfId="15"/>
    <tableColumn id="6" xr3:uid="{EED5117D-79F2-4824-8BEE-35B365DD79AA}" uniqueName="6" name="Type" queryTableFieldId="6" dataDxfId="14"/>
    <tableColumn id="7" xr3:uid="{A6D8EE0F-7478-43EF-B1A9-BA007962B539}" uniqueName="7" name="DocumentNo" queryTableFieldId="7" dataDxfId="13"/>
    <tableColumn id="8" xr3:uid="{26C94B9F-D710-48BC-8A82-037962BECA50}" uniqueName="8" name="Effect date" queryTableFieldId="8" dataDxfId="12"/>
    <tableColumn id="9" xr3:uid="{B8CA9D02-3934-4BB1-9BE7-BC42D9517F2E}" uniqueName="9" name="Doc.Header Text" queryTableFieldId="9" dataDxfId="11"/>
    <tableColumn id="10" xr3:uid="{162CDA7A-7BC4-49ED-ADD0-218BDEE3AFB9}" uniqueName="10" name="Total Deb./Cred." queryTableFieldId="10" dataDxfId="10"/>
    <tableColumn id="11" xr3:uid="{2C95A7CA-8710-4A58-AC37-26A86C763F9E}" uniqueName="11" name="G/L Account" queryTableFieldId="11" dataDxfId="9"/>
    <tableColumn id="12" xr3:uid="{61DB01A1-3A56-43EB-815E-E832C9B63A36}" uniqueName="12" name="G/L Account Descr." queryTableFieldId="12" dataDxfId="8"/>
    <tableColumn id="1" xr3:uid="{04FE8C5C-D696-4721-B947-3F4B219A8BF3}" uniqueName="1" name="Supp/Cust" queryTableFieldId="25"/>
    <tableColumn id="21" xr3:uid="{41656312-1A91-49B9-BD0A-612CDA7776B0}" uniqueName="21" name="Desc.S/C" queryTableFieldId="26"/>
    <tableColumn id="13" xr3:uid="{71005E0B-3FFB-4EC7-914D-DDF77CFB2B61}" uniqueName="13" name="Cost Ctr" queryTableFieldId="13" dataDxfId="7"/>
    <tableColumn id="16" xr3:uid="{37F7559B-1D27-428D-82F8-C883A2F730BB}" uniqueName="16" name="Cost Ctr Desc." queryTableFieldId="16" dataDxfId="6"/>
    <tableColumn id="14" xr3:uid="{DC6EEACE-EE4C-4FD9-A301-38476D8EFF59}" uniqueName="14" name="Profit Ctr" queryTableFieldId="14" dataDxfId="5"/>
    <tableColumn id="17" xr3:uid="{CB4744D1-6C98-4965-BC3D-0AB5CFD359C0}" uniqueName="17" name="Profit Ctr Desc" queryTableFieldId="17" dataDxfId="4"/>
    <tableColumn id="15" xr3:uid="{565C0FC6-9844-4F51-82F3-154E7E22C491}" uniqueName="15" name="Order" queryTableFieldId="15" dataDxfId="3"/>
    <tableColumn id="18" xr3:uid="{C2CC6477-1AB2-4F7B-9911-8979487CE2BF}" uniqueName="18" name="Order Desc." queryTableFieldId="18" dataDxfId="2"/>
    <tableColumn id="19" xr3:uid="{34192EED-EF79-45B6-A29E-74BAA7C9D86A}" uniqueName="19" name="   Debit amount" queryTableFieldId="19" dataDxfId="1"/>
    <tableColumn id="20" xr3:uid="{072B7A90-C691-45E8-9613-F09E0D4D60ED}" uniqueName="20" name="  Credit amount" queryTableFieldId="20" dataDxfId="0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13" tableType="queryTable" totalsRowShown="0" headerRowDxfId="170" dataDxfId="168" headerRowBorderDxfId="169" tableBorderDxfId="167">
  <autoFilter ref="C5:W13" xr:uid="{CD7F8B62-9BA2-4298-8106-7EB434A24747}"/>
  <tableColumns count="21">
    <tableColumn id="1" xr3:uid="{04CF413E-6282-4AF7-BDA3-E3D8B053AE09}" uniqueName="1" name="CoCd" queryTableFieldId="1" dataDxfId="73"/>
    <tableColumn id="2" xr3:uid="{B843589C-B70F-4723-B5D3-5C4F97B07D8E}" uniqueName="2" name="Manager" queryTableFieldId="2" dataDxfId="72"/>
    <tableColumn id="3" xr3:uid="{7AA66676-D072-4BFE-B4A8-16A242997788}" uniqueName="3" name="User" queryTableFieldId="3" dataDxfId="71"/>
    <tableColumn id="4" xr3:uid="{6051C5CD-359C-4B59-9EC8-F98A3AC20317}" uniqueName="4" name="TCode" queryTableFieldId="4" dataDxfId="70"/>
    <tableColumn id="5" xr3:uid="{BD3CE50E-AC51-4E6A-8473-46323E123F28}" uniqueName="5" name="Type" queryTableFieldId="5" dataDxfId="69"/>
    <tableColumn id="6" xr3:uid="{B64D2510-AF54-4426-890F-B0CDC9200B93}" uniqueName="6" name="DocumentNo" queryTableFieldId="6" dataDxfId="68"/>
    <tableColumn id="7" xr3:uid="{F18E8B4C-9871-40CC-B07B-A126FFEE105A}" uniqueName="7" name="Effect date" queryTableFieldId="7" dataDxfId="67"/>
    <tableColumn id="8" xr3:uid="{CBD9049F-CCD1-49D0-8C41-71E5D28510C1}" uniqueName="8" name="Doc.Header Text" queryTableFieldId="8" dataDxfId="66"/>
    <tableColumn id="9" xr3:uid="{16E12A9D-F511-4D9F-865C-39E80494A976}" uniqueName="9" name="Total Deb./Cred." queryTableFieldId="9" dataDxfId="65"/>
    <tableColumn id="10" xr3:uid="{8B65DDD3-64C5-4C27-9700-18EB6C5ADEB4}" uniqueName="10" name="G/L Account" queryTableFieldId="10" dataDxfId="64"/>
    <tableColumn id="11" xr3:uid="{2AC44EFD-0BE9-4ED6-BBBE-3F61F9965E34}" uniqueName="11" name="G/L Account Descr." queryTableFieldId="11" dataDxfId="63"/>
    <tableColumn id="20" xr3:uid="{CCB40E92-3AC9-4D0E-AA62-1D9A62B11DE3}" uniqueName="20" name="Supp/Cust" queryTableFieldId="28"/>
    <tableColumn id="21" xr3:uid="{0CE5F093-C6A5-4B3E-9E18-B9F06683C1CF}" uniqueName="21" name="Desc.S/C" queryTableFieldId="29"/>
    <tableColumn id="14" xr3:uid="{6B845074-48B0-4C0B-AE20-8373202C917C}" uniqueName="14" name="Cost Ctr" queryTableFieldId="14" dataDxfId="62"/>
    <tableColumn id="17" xr3:uid="{5F951380-71E9-4AD3-B72B-8A4DDE8531A1}" uniqueName="17" name="Cost Ctr Desc." queryTableFieldId="17" dataDxfId="61"/>
    <tableColumn id="15" xr3:uid="{DD612D43-C17C-47D8-92EC-FCC2B23CBA4D}" uniqueName="15" name="Profit Ctr" queryTableFieldId="15" dataDxfId="60"/>
    <tableColumn id="18" xr3:uid="{D1D5768C-49EB-40F0-B75B-44E72DB46DB2}" uniqueName="18" name="Profit Ctr Desc" queryTableFieldId="18" dataDxfId="59"/>
    <tableColumn id="16" xr3:uid="{60AF6C15-25B0-4F76-BF3B-06727AA0CFDB}" uniqueName="16" name="Order" queryTableFieldId="16" dataDxfId="58"/>
    <tableColumn id="19" xr3:uid="{E26B1DBE-3032-4D6A-95E5-7C7D6C07FB1E}" uniqueName="19" name="Order Desc." queryTableFieldId="19" dataDxfId="57"/>
    <tableColumn id="12" xr3:uid="{D0574C7A-06D2-4DF5-B39B-FD156C1053A6}" uniqueName="12" name="   Debit amount" queryTableFieldId="12" dataDxfId="56"/>
    <tableColumn id="13" xr3:uid="{9FA2F7EE-A1CB-4F87-A3A8-C1F37C7EDEC4}" uniqueName="13" name="  Credit amount" queryTableFieldId="13" dataDxfId="55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166" dataDxfId="164" headerRowBorderDxfId="165" tableBorderDxfId="163">
  <autoFilter ref="B5:M6" xr:uid="{034115BE-4A80-48DB-9E37-EB622EC16AC3}"/>
  <tableColumns count="12">
    <tableColumn id="1" xr3:uid="{0FE10104-4E69-454D-BD97-6DBB0BEB8661}" uniqueName="1" name="Type + TCode + Co + Doc N" queryTableFieldId="1" dataDxfId="54"/>
    <tableColumn id="2" xr3:uid="{B5E2E48A-A950-49E4-B6F7-22578D35E593}" uniqueName="2" name="CoCd" queryTableFieldId="2" dataDxfId="53"/>
    <tableColumn id="3" xr3:uid="{068000CE-944F-4342-80A9-57DD13BEA196}" uniqueName="3" name="Manager" queryTableFieldId="3" dataDxfId="52"/>
    <tableColumn id="4" xr3:uid="{E3DE1062-6EFA-4542-96AE-47077C850654}" uniqueName="4" name="User" queryTableFieldId="4" dataDxfId="51"/>
    <tableColumn id="5" xr3:uid="{79C4BA23-6D64-4BA8-ACFC-8CC52D428A9A}" uniqueName="5" name="TCode" queryTableFieldId="5" dataDxfId="50"/>
    <tableColumn id="6" xr3:uid="{0E7EB560-2FFB-4C8D-ABE6-7D36F67213A4}" uniqueName="6" name="Text" queryTableFieldId="6" dataDxfId="49"/>
    <tableColumn id="7" xr3:uid="{B5303866-5321-4136-93CE-47907A7FF781}" uniqueName="7" name="Type" queryTableFieldId="7" dataDxfId="48"/>
    <tableColumn id="8" xr3:uid="{89A44242-5A9C-4507-AD78-632E25AC71E7}" uniqueName="8" name="DocumentNo" queryTableFieldId="8" dataDxfId="47"/>
    <tableColumn id="9" xr3:uid="{4510E1EA-2C2C-41B3-932A-007350955C04}" uniqueName="9" name="Effect date" queryTableFieldId="9" dataDxfId="46"/>
    <tableColumn id="10" xr3:uid="{1969B821-AA7D-4CAE-8E6A-BACC3A632F34}" uniqueName="10" name="Doc.Header Text" queryTableFieldId="10" dataDxfId="45"/>
    <tableColumn id="11" xr3:uid="{000CAD34-6323-41B9-8161-591B1AC0981F}" uniqueName="11" name="Total Deb./Cred." queryTableFieldId="11" dataDxfId="44"/>
    <tableColumn id="12" xr3:uid="{03065B03-9461-42C4-A375-1B3C9BD7A88E}" uniqueName="12" name="Sampling" queryTableFieldId="12" dataDxfId="43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7" tableType="queryTable" totalsRowShown="0" headerRowDxfId="162" dataDxfId="160" headerRowBorderDxfId="161" tableBorderDxfId="159">
  <autoFilter ref="B5:M7" xr:uid="{5ABB4E7F-DFE9-49C2-AD41-ED0F95354F70}"/>
  <tableColumns count="12">
    <tableColumn id="1" xr3:uid="{4A765775-F54A-4008-9FAB-E56D607AD850}" uniqueName="1" name="Type + TCode + Co + Doc N" queryTableFieldId="1" dataDxfId="30"/>
    <tableColumn id="2" xr3:uid="{0761ECE0-996F-418A-871B-BBFC6153D7B6}" uniqueName="2" name="CoCd" queryTableFieldId="2" dataDxfId="29"/>
    <tableColumn id="3" xr3:uid="{36A8F6F3-D934-4FD7-99D0-DEE1A00F711F}" uniqueName="3" name="Manager" queryTableFieldId="3" dataDxfId="28"/>
    <tableColumn id="4" xr3:uid="{7EEF131A-84D2-4CCA-87F3-E73EE15FEE1B}" uniqueName="4" name="User" queryTableFieldId="4" dataDxfId="27"/>
    <tableColumn id="5" xr3:uid="{E4CD2EFD-A8B4-411E-AE12-727815DE529C}" uniqueName="5" name="TCode" queryTableFieldId="5" dataDxfId="26"/>
    <tableColumn id="6" xr3:uid="{BD60C0F8-6896-468D-98C9-017730CD22BD}" uniqueName="6" name="Text" queryTableFieldId="6" dataDxfId="25"/>
    <tableColumn id="7" xr3:uid="{05AE3093-3FE9-4C6C-BC22-FF02BCE53502}" uniqueName="7" name="Type" queryTableFieldId="7" dataDxfId="24"/>
    <tableColumn id="8" xr3:uid="{F96981B2-88C7-4A75-932D-B4460FB08C4B}" uniqueName="8" name="DocumentNo" queryTableFieldId="8" dataDxfId="23"/>
    <tableColumn id="9" xr3:uid="{1C4F457C-6878-46D0-B87F-2F5EF38F212F}" uniqueName="9" name="Effect date" queryTableFieldId="9" dataDxfId="22"/>
    <tableColumn id="10" xr3:uid="{8288B3DA-30B1-4F8E-9D4E-0D4B67706537}" uniqueName="10" name="Doc.Header Text" queryTableFieldId="10" dataDxfId="21"/>
    <tableColumn id="11" xr3:uid="{CB7A5201-7D0E-44FD-B483-FC646AC9072D}" uniqueName="11" name="Total Deb./Cred." queryTableFieldId="11" dataDxfId="20"/>
    <tableColumn id="12" xr3:uid="{F2F0C37E-F209-4739-A744-FC72A4A72CC3}" uniqueName="12" name="Sampling" queryTableFieldId="12" dataDxfId="19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1CE7D-72B2-4DD1-9B1D-65B5D00FB6DA}">
  <sheetPr codeName="Sheet1"/>
  <dimension ref="A1"/>
  <sheetViews>
    <sheetView workbookViewId="0"/>
  </sheetViews>
  <sheetFormatPr defaultRowHeight="15" x14ac:dyDescent="0.25"/>
  <cols>
    <col min="1" max="16384" width="9.140625" style="11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71"/>
  <sheetViews>
    <sheetView showGridLines="0" tabSelected="1" zoomScale="90" zoomScaleNormal="90" workbookViewId="0">
      <pane ySplit="4" topLeftCell="A5" activePane="bottomLeft" state="frozen"/>
      <selection pane="bottomLeft" activeCell="K8" sqref="K8"/>
    </sheetView>
  </sheetViews>
  <sheetFormatPr defaultColWidth="8.85546875" defaultRowHeight="12" x14ac:dyDescent="0.2"/>
  <cols>
    <col min="1" max="1" width="2.42578125" style="1" customWidth="1"/>
    <col min="2" max="2" width="11.28515625" style="1" bestFit="1" customWidth="1"/>
    <col min="3" max="3" width="15.7109375" style="1" bestFit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9" bestFit="1" customWidth="1"/>
    <col min="14" max="14" width="12.140625" style="119" bestFit="1" customWidth="1"/>
    <col min="15" max="15" width="12.42578125" style="119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20" width="20.85546875" style="1" customWidth="1"/>
    <col min="21" max="21" width="6.425781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3" t="s">
        <v>71</v>
      </c>
      <c r="C1" s="143"/>
      <c r="D1" s="143"/>
      <c r="E1" s="143"/>
      <c r="F1" s="143"/>
      <c r="G1" s="143"/>
      <c r="H1" s="143"/>
      <c r="M1" s="118"/>
      <c r="N1" s="118"/>
      <c r="O1" s="118"/>
    </row>
    <row r="2" spans="2:39" ht="16.899999999999999" customHeight="1" x14ac:dyDescent="0.25">
      <c r="F2" s="144" t="s">
        <v>72</v>
      </c>
      <c r="G2" s="144"/>
      <c r="H2" s="144"/>
      <c r="I2" s="144"/>
      <c r="J2" s="144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0" t="s">
        <v>11</v>
      </c>
      <c r="N4" s="120" t="s">
        <v>12</v>
      </c>
      <c r="O4" s="120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" s="5" t="str">
        <f>+CONCATENATE(ZEUFI037[[#This Row],[Type]],"-",ZEUFI037[[#This Row],[G/L Account]])</f>
        <v>ZV-44110000</v>
      </c>
      <c r="D5" s="25" t="str">
        <f>+CONCATENATE(ZEUFI037[[#This Row],[Type]],"-",ZEUFI037[[#This Row],[TCode]],"-",ZEUFI037[[#This Row],[CoCd]],"-",ZEUFI037[[#This Row],[DocumentNo]])</f>
        <v>ZV-FB05-AT01-2000001843</v>
      </c>
      <c r="E5" s="11" t="s">
        <v>101</v>
      </c>
      <c r="F5" s="6" t="s">
        <v>102</v>
      </c>
      <c r="G5" s="6" t="s">
        <v>103</v>
      </c>
      <c r="H5" s="6" t="s">
        <v>104</v>
      </c>
      <c r="I5" s="6" t="s">
        <v>105</v>
      </c>
      <c r="J5" s="6" t="s">
        <v>106</v>
      </c>
      <c r="K5" s="6" t="s">
        <v>107</v>
      </c>
      <c r="L5" s="6">
        <v>2000001843</v>
      </c>
      <c r="M5" s="121">
        <v>45692</v>
      </c>
      <c r="N5" s="121">
        <v>45692</v>
      </c>
      <c r="O5" s="121">
        <v>45692</v>
      </c>
      <c r="P5" s="6" t="s">
        <v>108</v>
      </c>
      <c r="Q5" s="6" t="s">
        <v>108</v>
      </c>
      <c r="R5" s="6"/>
      <c r="S5" s="107">
        <v>26994.14</v>
      </c>
      <c r="T5" s="6">
        <v>0</v>
      </c>
      <c r="U5" s="6">
        <v>1</v>
      </c>
      <c r="V5" s="6">
        <v>25</v>
      </c>
      <c r="W5" s="6">
        <v>2</v>
      </c>
      <c r="X5" s="113">
        <v>44110000</v>
      </c>
      <c r="Y5" s="6" t="s">
        <v>109</v>
      </c>
      <c r="Z5" s="6">
        <v>26994.14</v>
      </c>
      <c r="AA5" s="6">
        <v>0</v>
      </c>
      <c r="AB5" s="6">
        <v>0</v>
      </c>
      <c r="AC5" s="6">
        <v>0</v>
      </c>
      <c r="AD5" s="6"/>
      <c r="AE5" s="6"/>
      <c r="AF5" s="6"/>
      <c r="AG5" s="6"/>
      <c r="AH5" s="6"/>
      <c r="AI5" s="6"/>
      <c r="AJ5" s="6"/>
      <c r="AK5" s="7"/>
      <c r="AL5" s="6">
        <v>102414</v>
      </c>
      <c r="AM5" s="6" t="s">
        <v>110</v>
      </c>
    </row>
    <row r="6" spans="2:39" x14ac:dyDescent="0.2">
      <c r="B6" s="156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" s="158" t="str">
        <f>+CONCATENATE(ZEUFI037[[#This Row],[Type]],"-",ZEUFI037[[#This Row],[G/L Account]])</f>
        <v>ZV-34880000</v>
      </c>
      <c r="D6" s="159" t="str">
        <f>+CONCATENATE(ZEUFI037[[#This Row],[Type]],"-",ZEUFI037[[#This Row],[TCode]],"-",ZEUFI037[[#This Row],[CoCd]],"-",ZEUFI037[[#This Row],[DocumentNo]])</f>
        <v>ZV-FB05-AT01-2000001843</v>
      </c>
      <c r="E6" s="160" t="s">
        <v>101</v>
      </c>
      <c r="F6" s="160" t="s">
        <v>102</v>
      </c>
      <c r="G6" s="160" t="s">
        <v>103</v>
      </c>
      <c r="H6" s="160" t="s">
        <v>104</v>
      </c>
      <c r="I6" s="160" t="s">
        <v>105</v>
      </c>
      <c r="J6" s="160" t="s">
        <v>106</v>
      </c>
      <c r="K6" s="160" t="s">
        <v>107</v>
      </c>
      <c r="L6" s="160">
        <v>2000001843</v>
      </c>
      <c r="M6" s="161">
        <v>45692</v>
      </c>
      <c r="N6" s="161">
        <v>45692</v>
      </c>
      <c r="O6" s="161">
        <v>45692</v>
      </c>
      <c r="P6" s="160" t="s">
        <v>108</v>
      </c>
      <c r="Q6" s="160" t="s">
        <v>108</v>
      </c>
      <c r="R6" s="160"/>
      <c r="S6" s="162">
        <v>26994.14</v>
      </c>
      <c r="T6" s="107">
        <v>0</v>
      </c>
      <c r="U6" s="160">
        <v>2</v>
      </c>
      <c r="V6" s="160">
        <v>18</v>
      </c>
      <c r="W6" s="160">
        <v>1</v>
      </c>
      <c r="X6" s="163">
        <v>34880000</v>
      </c>
      <c r="Y6" s="160" t="s">
        <v>111</v>
      </c>
      <c r="Z6" s="160">
        <v>0</v>
      </c>
      <c r="AA6" s="160">
        <v>0</v>
      </c>
      <c r="AB6" s="160">
        <v>26994.14</v>
      </c>
      <c r="AC6" s="160">
        <v>0</v>
      </c>
      <c r="AD6" s="160" t="s">
        <v>108</v>
      </c>
      <c r="AE6" s="160"/>
      <c r="AF6" s="160"/>
      <c r="AG6" s="160"/>
      <c r="AH6" s="160"/>
      <c r="AI6" s="160"/>
      <c r="AJ6" s="160"/>
      <c r="AK6" s="164"/>
      <c r="AL6" s="160">
        <v>105091</v>
      </c>
      <c r="AM6" s="160" t="s">
        <v>110</v>
      </c>
    </row>
    <row r="7" spans="2:39" x14ac:dyDescent="0.2">
      <c r="B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7" s="158" t="str">
        <f>+CONCATENATE(ZEUFI037[[#This Row],[Type]],"-",ZEUFI037[[#This Row],[G/L Account]])</f>
        <v>ZV-44110000</v>
      </c>
      <c r="D7" s="159" t="str">
        <f>+CONCATENATE(ZEUFI037[[#This Row],[Type]],"-",ZEUFI037[[#This Row],[TCode]],"-",ZEUFI037[[#This Row],[CoCd]],"-",ZEUFI037[[#This Row],[DocumentNo]])</f>
        <v>ZV-FB05-AT01-2000002051</v>
      </c>
      <c r="E7" s="6" t="s">
        <v>101</v>
      </c>
      <c r="F7" s="6" t="s">
        <v>102</v>
      </c>
      <c r="G7" s="6" t="s">
        <v>103</v>
      </c>
      <c r="H7" s="6" t="s">
        <v>104</v>
      </c>
      <c r="I7" s="6" t="s">
        <v>105</v>
      </c>
      <c r="J7" s="6" t="s">
        <v>106</v>
      </c>
      <c r="K7" s="6" t="s">
        <v>107</v>
      </c>
      <c r="L7" s="6">
        <v>2000002051</v>
      </c>
      <c r="M7" s="121">
        <v>45694</v>
      </c>
      <c r="N7" s="121">
        <v>45694</v>
      </c>
      <c r="O7" s="121">
        <v>45694</v>
      </c>
      <c r="P7" s="6" t="s">
        <v>108</v>
      </c>
      <c r="Q7" s="6" t="s">
        <v>108</v>
      </c>
      <c r="R7" s="160"/>
      <c r="S7" s="162">
        <v>19886.27</v>
      </c>
      <c r="T7" s="107">
        <v>0</v>
      </c>
      <c r="U7" s="6">
        <v>1</v>
      </c>
      <c r="V7" s="6">
        <v>25</v>
      </c>
      <c r="W7" s="160">
        <v>2</v>
      </c>
      <c r="X7" s="163">
        <v>44110000</v>
      </c>
      <c r="Y7" s="160" t="s">
        <v>109</v>
      </c>
      <c r="Z7" s="6">
        <v>19886.27</v>
      </c>
      <c r="AA7" s="6">
        <v>0</v>
      </c>
      <c r="AB7" s="6">
        <v>0</v>
      </c>
      <c r="AC7" s="6">
        <v>0</v>
      </c>
      <c r="AD7" s="6"/>
      <c r="AE7" s="6"/>
      <c r="AF7" s="6"/>
      <c r="AG7" s="6"/>
      <c r="AH7" s="6"/>
      <c r="AI7" s="6"/>
      <c r="AJ7" s="6"/>
      <c r="AK7" s="7"/>
      <c r="AL7" s="6">
        <v>102498</v>
      </c>
      <c r="AM7" s="6" t="s">
        <v>112</v>
      </c>
    </row>
    <row r="8" spans="2:39" x14ac:dyDescent="0.2">
      <c r="B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8" s="158" t="str">
        <f>+CONCATENATE(ZEUFI037[[#This Row],[Type]],"-",ZEUFI037[[#This Row],[G/L Account]])</f>
        <v>ZV-34880000</v>
      </c>
      <c r="D8" s="159" t="str">
        <f>+CONCATENATE(ZEUFI037[[#This Row],[Type]],"-",ZEUFI037[[#This Row],[TCode]],"-",ZEUFI037[[#This Row],[CoCd]],"-",ZEUFI037[[#This Row],[DocumentNo]])</f>
        <v>ZV-FB05-AT01-2000002051</v>
      </c>
      <c r="E8" s="6" t="s">
        <v>101</v>
      </c>
      <c r="F8" s="6" t="s">
        <v>102</v>
      </c>
      <c r="G8" s="6" t="s">
        <v>103</v>
      </c>
      <c r="H8" s="6" t="s">
        <v>104</v>
      </c>
      <c r="I8" s="6" t="s">
        <v>105</v>
      </c>
      <c r="J8" s="6" t="s">
        <v>106</v>
      </c>
      <c r="K8" s="6" t="s">
        <v>107</v>
      </c>
      <c r="L8" s="6">
        <v>2000002051</v>
      </c>
      <c r="M8" s="121">
        <v>45694</v>
      </c>
      <c r="N8" s="121">
        <v>45694</v>
      </c>
      <c r="O8" s="121">
        <v>45694</v>
      </c>
      <c r="P8" s="6" t="s">
        <v>108</v>
      </c>
      <c r="Q8" s="6" t="s">
        <v>108</v>
      </c>
      <c r="R8" s="160"/>
      <c r="S8" s="162">
        <v>19886.27</v>
      </c>
      <c r="T8" s="107">
        <v>0</v>
      </c>
      <c r="U8" s="6">
        <v>2</v>
      </c>
      <c r="V8" s="6">
        <v>18</v>
      </c>
      <c r="W8" s="160">
        <v>1</v>
      </c>
      <c r="X8" s="163">
        <v>34880000</v>
      </c>
      <c r="Y8" s="160" t="s">
        <v>111</v>
      </c>
      <c r="Z8" s="6">
        <v>0</v>
      </c>
      <c r="AA8" s="6">
        <v>0</v>
      </c>
      <c r="AB8" s="6">
        <v>19886.27</v>
      </c>
      <c r="AC8" s="6">
        <v>0</v>
      </c>
      <c r="AD8" s="6" t="s">
        <v>108</v>
      </c>
      <c r="AE8" s="6"/>
      <c r="AF8" s="6"/>
      <c r="AG8" s="6"/>
      <c r="AH8" s="6"/>
      <c r="AI8" s="6"/>
      <c r="AJ8" s="6"/>
      <c r="AK8" s="7"/>
      <c r="AL8" s="6">
        <v>104900</v>
      </c>
      <c r="AM8" s="6" t="s">
        <v>112</v>
      </c>
    </row>
    <row r="9" spans="2:39" x14ac:dyDescent="0.2">
      <c r="B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9" s="158" t="str">
        <f>+CONCATENATE(ZEUFI037[[#This Row],[Type]],"-",ZEUFI037[[#This Row],[G/L Account]])</f>
        <v>ZV-44110000</v>
      </c>
      <c r="D9" s="159" t="str">
        <f>+CONCATENATE(ZEUFI037[[#This Row],[Type]],"-",ZEUFI037[[#This Row],[TCode]],"-",ZEUFI037[[#This Row],[CoCd]],"-",ZEUFI037[[#This Row],[DocumentNo]])</f>
        <v>ZV-FB05-AT01-2000002052</v>
      </c>
      <c r="E9" s="6" t="s">
        <v>101</v>
      </c>
      <c r="F9" s="6" t="s">
        <v>102</v>
      </c>
      <c r="G9" s="6" t="s">
        <v>103</v>
      </c>
      <c r="H9" s="6" t="s">
        <v>104</v>
      </c>
      <c r="I9" s="6" t="s">
        <v>105</v>
      </c>
      <c r="J9" s="6" t="s">
        <v>106</v>
      </c>
      <c r="K9" s="6" t="s">
        <v>107</v>
      </c>
      <c r="L9" s="6">
        <v>2000002052</v>
      </c>
      <c r="M9" s="121">
        <v>45694</v>
      </c>
      <c r="N9" s="121">
        <v>45694</v>
      </c>
      <c r="O9" s="121">
        <v>45694</v>
      </c>
      <c r="P9" s="6" t="s">
        <v>108</v>
      </c>
      <c r="Q9" s="6" t="s">
        <v>108</v>
      </c>
      <c r="R9" s="160"/>
      <c r="S9" s="162">
        <v>13101.84</v>
      </c>
      <c r="T9" s="107">
        <v>0</v>
      </c>
      <c r="U9" s="6">
        <v>1</v>
      </c>
      <c r="V9" s="6">
        <v>25</v>
      </c>
      <c r="W9" s="160">
        <v>2</v>
      </c>
      <c r="X9" s="163">
        <v>44110000</v>
      </c>
      <c r="Y9" s="160" t="s">
        <v>109</v>
      </c>
      <c r="Z9" s="6">
        <v>13101.84</v>
      </c>
      <c r="AA9" s="6">
        <v>0</v>
      </c>
      <c r="AB9" s="6">
        <v>0</v>
      </c>
      <c r="AC9" s="6">
        <v>0</v>
      </c>
      <c r="AD9" s="6"/>
      <c r="AE9" s="6"/>
      <c r="AF9" s="6"/>
      <c r="AG9" s="6"/>
      <c r="AH9" s="6"/>
      <c r="AI9" s="6"/>
      <c r="AJ9" s="6"/>
      <c r="AK9" s="7"/>
      <c r="AL9" s="6">
        <v>102191</v>
      </c>
      <c r="AM9" s="6" t="s">
        <v>113</v>
      </c>
    </row>
    <row r="10" spans="2:39" x14ac:dyDescent="0.2">
      <c r="B1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0" s="158" t="str">
        <f>+CONCATENATE(ZEUFI037[[#This Row],[Type]],"-",ZEUFI037[[#This Row],[G/L Account]])</f>
        <v>ZV-34880000</v>
      </c>
      <c r="D10" s="159" t="str">
        <f>+CONCATENATE(ZEUFI037[[#This Row],[Type]],"-",ZEUFI037[[#This Row],[TCode]],"-",ZEUFI037[[#This Row],[CoCd]],"-",ZEUFI037[[#This Row],[DocumentNo]])</f>
        <v>ZV-FB05-AT01-2000002052</v>
      </c>
      <c r="E10" s="6" t="s">
        <v>101</v>
      </c>
      <c r="F10" s="6" t="s">
        <v>102</v>
      </c>
      <c r="G10" s="6" t="s">
        <v>103</v>
      </c>
      <c r="H10" s="6" t="s">
        <v>104</v>
      </c>
      <c r="I10" s="6" t="s">
        <v>105</v>
      </c>
      <c r="J10" s="6" t="s">
        <v>106</v>
      </c>
      <c r="K10" s="6" t="s">
        <v>107</v>
      </c>
      <c r="L10" s="6">
        <v>2000002052</v>
      </c>
      <c r="M10" s="121">
        <v>45694</v>
      </c>
      <c r="N10" s="121">
        <v>45694</v>
      </c>
      <c r="O10" s="121">
        <v>45694</v>
      </c>
      <c r="P10" s="6" t="s">
        <v>108</v>
      </c>
      <c r="Q10" s="6" t="s">
        <v>108</v>
      </c>
      <c r="R10" s="160"/>
      <c r="S10" s="162">
        <v>13101.84</v>
      </c>
      <c r="T10" s="107">
        <v>0</v>
      </c>
      <c r="U10" s="6">
        <v>2</v>
      </c>
      <c r="V10" s="6">
        <v>18</v>
      </c>
      <c r="W10" s="160">
        <v>1</v>
      </c>
      <c r="X10" s="163">
        <v>34880000</v>
      </c>
      <c r="Y10" s="160" t="s">
        <v>111</v>
      </c>
      <c r="Z10" s="6">
        <v>0</v>
      </c>
      <c r="AA10" s="6">
        <v>0</v>
      </c>
      <c r="AB10" s="6">
        <v>13101.84</v>
      </c>
      <c r="AC10" s="6">
        <v>0</v>
      </c>
      <c r="AD10" s="6" t="s">
        <v>108</v>
      </c>
      <c r="AE10" s="6"/>
      <c r="AF10" s="6"/>
      <c r="AG10" s="6"/>
      <c r="AH10" s="6"/>
      <c r="AI10" s="6"/>
      <c r="AJ10" s="6"/>
      <c r="AK10" s="7"/>
      <c r="AL10" s="6">
        <v>104309</v>
      </c>
      <c r="AM10" s="6" t="s">
        <v>113</v>
      </c>
    </row>
    <row r="11" spans="2:39" x14ac:dyDescent="0.2">
      <c r="B1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1" s="158" t="str">
        <f>+CONCATENATE(ZEUFI037[[#This Row],[Type]],"-",ZEUFI037[[#This Row],[G/L Account]])</f>
        <v>ZV-44110000</v>
      </c>
      <c r="D11" s="159" t="str">
        <f>+CONCATENATE(ZEUFI037[[#This Row],[Type]],"-",ZEUFI037[[#This Row],[TCode]],"-",ZEUFI037[[#This Row],[CoCd]],"-",ZEUFI037[[#This Row],[DocumentNo]])</f>
        <v>ZV-FB05-AT01-2000002208</v>
      </c>
      <c r="E11" s="6" t="s">
        <v>101</v>
      </c>
      <c r="F11" s="6" t="s">
        <v>102</v>
      </c>
      <c r="G11" s="6" t="s">
        <v>103</v>
      </c>
      <c r="H11" s="6" t="s">
        <v>104</v>
      </c>
      <c r="I11" s="6" t="s">
        <v>105</v>
      </c>
      <c r="J11" s="6" t="s">
        <v>106</v>
      </c>
      <c r="K11" s="6" t="s">
        <v>107</v>
      </c>
      <c r="L11" s="6">
        <v>2000002208</v>
      </c>
      <c r="M11" s="121">
        <v>45698</v>
      </c>
      <c r="N11" s="121">
        <v>45698</v>
      </c>
      <c r="O11" s="121">
        <v>45698</v>
      </c>
      <c r="P11" s="6" t="s">
        <v>108</v>
      </c>
      <c r="Q11" s="6" t="s">
        <v>108</v>
      </c>
      <c r="R11" s="160"/>
      <c r="S11" s="162">
        <v>23002.98</v>
      </c>
      <c r="T11" s="107">
        <v>0</v>
      </c>
      <c r="U11" s="6">
        <v>1</v>
      </c>
      <c r="V11" s="6">
        <v>25</v>
      </c>
      <c r="W11" s="160">
        <v>2</v>
      </c>
      <c r="X11" s="163">
        <v>44110000</v>
      </c>
      <c r="Y11" s="160" t="s">
        <v>109</v>
      </c>
      <c r="Z11" s="6">
        <v>23002.98</v>
      </c>
      <c r="AA11" s="6">
        <v>0</v>
      </c>
      <c r="AB11" s="6">
        <v>0</v>
      </c>
      <c r="AC11" s="6">
        <v>0</v>
      </c>
      <c r="AD11" s="6"/>
      <c r="AE11" s="6"/>
      <c r="AF11" s="6"/>
      <c r="AG11" s="6"/>
      <c r="AH11" s="6"/>
      <c r="AI11" s="6"/>
      <c r="AJ11" s="6"/>
      <c r="AK11" s="7"/>
      <c r="AL11" s="6">
        <v>102630</v>
      </c>
      <c r="AM11" s="6" t="s">
        <v>114</v>
      </c>
    </row>
    <row r="12" spans="2:39" x14ac:dyDescent="0.2">
      <c r="B12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2" s="158" t="str">
        <f>+CONCATENATE(ZEUFI037[[#This Row],[Type]],"-",ZEUFI037[[#This Row],[G/L Account]])</f>
        <v>ZV-34880000</v>
      </c>
      <c r="D12" s="159" t="str">
        <f>+CONCATENATE(ZEUFI037[[#This Row],[Type]],"-",ZEUFI037[[#This Row],[TCode]],"-",ZEUFI037[[#This Row],[CoCd]],"-",ZEUFI037[[#This Row],[DocumentNo]])</f>
        <v>ZV-FB05-AT01-2000002208</v>
      </c>
      <c r="E12" s="6" t="s">
        <v>101</v>
      </c>
      <c r="F12" s="6" t="s">
        <v>102</v>
      </c>
      <c r="G12" s="6" t="s">
        <v>103</v>
      </c>
      <c r="H12" s="6" t="s">
        <v>104</v>
      </c>
      <c r="I12" s="6" t="s">
        <v>105</v>
      </c>
      <c r="J12" s="6" t="s">
        <v>106</v>
      </c>
      <c r="K12" s="6" t="s">
        <v>107</v>
      </c>
      <c r="L12" s="6">
        <v>2000002208</v>
      </c>
      <c r="M12" s="121">
        <v>45698</v>
      </c>
      <c r="N12" s="121">
        <v>45698</v>
      </c>
      <c r="O12" s="121">
        <v>45698</v>
      </c>
      <c r="P12" s="6" t="s">
        <v>108</v>
      </c>
      <c r="Q12" s="6" t="s">
        <v>108</v>
      </c>
      <c r="R12" s="160"/>
      <c r="S12" s="162">
        <v>23002.98</v>
      </c>
      <c r="T12" s="107">
        <v>0</v>
      </c>
      <c r="U12" s="6">
        <v>2</v>
      </c>
      <c r="V12" s="6">
        <v>18</v>
      </c>
      <c r="W12" s="160">
        <v>1</v>
      </c>
      <c r="X12" s="163">
        <v>34880000</v>
      </c>
      <c r="Y12" s="160" t="s">
        <v>111</v>
      </c>
      <c r="Z12" s="6">
        <v>0</v>
      </c>
      <c r="AA12" s="6">
        <v>0</v>
      </c>
      <c r="AB12" s="6">
        <v>23002.98</v>
      </c>
      <c r="AC12" s="6">
        <v>0</v>
      </c>
      <c r="AD12" s="6" t="s">
        <v>108</v>
      </c>
      <c r="AE12" s="6"/>
      <c r="AF12" s="6"/>
      <c r="AG12" s="6"/>
      <c r="AH12" s="6"/>
      <c r="AI12" s="6"/>
      <c r="AJ12" s="6"/>
      <c r="AK12" s="7"/>
      <c r="AL12" s="6">
        <v>105140</v>
      </c>
      <c r="AM12" s="6" t="s">
        <v>115</v>
      </c>
    </row>
    <row r="13" spans="2:39" x14ac:dyDescent="0.2">
      <c r="B13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3" s="158" t="str">
        <f>+CONCATENATE(ZEUFI037[[#This Row],[Type]],"-",ZEUFI037[[#This Row],[G/L Account]])</f>
        <v>ZV-44110000</v>
      </c>
      <c r="D13" s="159" t="str">
        <f>+CONCATENATE(ZEUFI037[[#This Row],[Type]],"-",ZEUFI037[[#This Row],[TCode]],"-",ZEUFI037[[#This Row],[CoCd]],"-",ZEUFI037[[#This Row],[DocumentNo]])</f>
        <v>ZV-FB05-AT01-2000002209</v>
      </c>
      <c r="E13" s="6" t="s">
        <v>101</v>
      </c>
      <c r="F13" s="6" t="s">
        <v>102</v>
      </c>
      <c r="G13" s="6" t="s">
        <v>103</v>
      </c>
      <c r="H13" s="6" t="s">
        <v>104</v>
      </c>
      <c r="I13" s="6" t="s">
        <v>105</v>
      </c>
      <c r="J13" s="6" t="s">
        <v>106</v>
      </c>
      <c r="K13" s="6" t="s">
        <v>107</v>
      </c>
      <c r="L13" s="6">
        <v>2000002209</v>
      </c>
      <c r="M13" s="121">
        <v>45699</v>
      </c>
      <c r="N13" s="121">
        <v>45699</v>
      </c>
      <c r="O13" s="121">
        <v>45699</v>
      </c>
      <c r="P13" s="6" t="s">
        <v>108</v>
      </c>
      <c r="Q13" s="6" t="s">
        <v>108</v>
      </c>
      <c r="R13" s="160"/>
      <c r="S13" s="162">
        <v>3207.17</v>
      </c>
      <c r="T13" s="107">
        <v>0</v>
      </c>
      <c r="U13" s="6">
        <v>1</v>
      </c>
      <c r="V13" s="6">
        <v>25</v>
      </c>
      <c r="W13" s="160">
        <v>2</v>
      </c>
      <c r="X13" s="163">
        <v>44110000</v>
      </c>
      <c r="Y13" s="160" t="s">
        <v>109</v>
      </c>
      <c r="Z13" s="6">
        <v>3207.17</v>
      </c>
      <c r="AA13" s="6">
        <v>0</v>
      </c>
      <c r="AB13" s="6">
        <v>0</v>
      </c>
      <c r="AC13" s="6">
        <v>0</v>
      </c>
      <c r="AD13" s="6"/>
      <c r="AE13" s="6"/>
      <c r="AF13" s="6"/>
      <c r="AG13" s="6"/>
      <c r="AH13" s="6"/>
      <c r="AI13" s="6"/>
      <c r="AJ13" s="6"/>
      <c r="AK13" s="7"/>
      <c r="AL13" s="6">
        <v>101787</v>
      </c>
      <c r="AM13" s="6" t="s">
        <v>116</v>
      </c>
    </row>
    <row r="14" spans="2:39" x14ac:dyDescent="0.2">
      <c r="B14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4" s="158" t="str">
        <f>+CONCATENATE(ZEUFI037[[#This Row],[Type]],"-",ZEUFI037[[#This Row],[G/L Account]])</f>
        <v>ZV-34880000</v>
      </c>
      <c r="D14" s="159" t="str">
        <f>+CONCATENATE(ZEUFI037[[#This Row],[Type]],"-",ZEUFI037[[#This Row],[TCode]],"-",ZEUFI037[[#This Row],[CoCd]],"-",ZEUFI037[[#This Row],[DocumentNo]])</f>
        <v>ZV-FB05-AT01-2000002209</v>
      </c>
      <c r="E14" s="6" t="s">
        <v>101</v>
      </c>
      <c r="F14" s="6" t="s">
        <v>102</v>
      </c>
      <c r="G14" s="6" t="s">
        <v>103</v>
      </c>
      <c r="H14" s="6" t="s">
        <v>104</v>
      </c>
      <c r="I14" s="6" t="s">
        <v>105</v>
      </c>
      <c r="J14" s="6" t="s">
        <v>106</v>
      </c>
      <c r="K14" s="6" t="s">
        <v>107</v>
      </c>
      <c r="L14" s="6">
        <v>2000002209</v>
      </c>
      <c r="M14" s="121">
        <v>45699</v>
      </c>
      <c r="N14" s="121">
        <v>45699</v>
      </c>
      <c r="O14" s="121">
        <v>45699</v>
      </c>
      <c r="P14" s="6" t="s">
        <v>108</v>
      </c>
      <c r="Q14" s="6" t="s">
        <v>108</v>
      </c>
      <c r="R14" s="160"/>
      <c r="S14" s="162">
        <v>3207.17</v>
      </c>
      <c r="T14" s="107">
        <v>0</v>
      </c>
      <c r="U14" s="6">
        <v>2</v>
      </c>
      <c r="V14" s="6">
        <v>18</v>
      </c>
      <c r="W14" s="160">
        <v>1</v>
      </c>
      <c r="X14" s="163">
        <v>34880000</v>
      </c>
      <c r="Y14" s="160" t="s">
        <v>111</v>
      </c>
      <c r="Z14" s="6">
        <v>0</v>
      </c>
      <c r="AA14" s="6">
        <v>0</v>
      </c>
      <c r="AB14" s="6">
        <v>3207.17</v>
      </c>
      <c r="AC14" s="6">
        <v>0</v>
      </c>
      <c r="AD14" s="6" t="s">
        <v>108</v>
      </c>
      <c r="AE14" s="6"/>
      <c r="AF14" s="6"/>
      <c r="AG14" s="6"/>
      <c r="AH14" s="6"/>
      <c r="AI14" s="6"/>
      <c r="AJ14" s="6"/>
      <c r="AK14" s="7"/>
      <c r="AL14" s="6">
        <v>103359</v>
      </c>
      <c r="AM14" s="6" t="s">
        <v>117</v>
      </c>
    </row>
    <row r="15" spans="2:39" x14ac:dyDescent="0.2">
      <c r="B15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5" s="158" t="str">
        <f>+CONCATENATE(ZEUFI037[[#This Row],[Type]],"-",ZEUFI037[[#This Row],[G/L Account]])</f>
        <v>ZV-44110000</v>
      </c>
      <c r="D15" s="159" t="str">
        <f>+CONCATENATE(ZEUFI037[[#This Row],[Type]],"-",ZEUFI037[[#This Row],[TCode]],"-",ZEUFI037[[#This Row],[CoCd]],"-",ZEUFI037[[#This Row],[DocumentNo]])</f>
        <v>ZV-FB05-AT01-2000002210</v>
      </c>
      <c r="E15" s="6" t="s">
        <v>101</v>
      </c>
      <c r="F15" s="6" t="s">
        <v>102</v>
      </c>
      <c r="G15" s="6" t="s">
        <v>103</v>
      </c>
      <c r="H15" s="6" t="s">
        <v>104</v>
      </c>
      <c r="I15" s="6" t="s">
        <v>105</v>
      </c>
      <c r="J15" s="6" t="s">
        <v>106</v>
      </c>
      <c r="K15" s="6" t="s">
        <v>107</v>
      </c>
      <c r="L15" s="6">
        <v>2000002210</v>
      </c>
      <c r="M15" s="121">
        <v>45699</v>
      </c>
      <c r="N15" s="121">
        <v>45699</v>
      </c>
      <c r="O15" s="121">
        <v>45699</v>
      </c>
      <c r="P15" s="6" t="s">
        <v>108</v>
      </c>
      <c r="Q15" s="6" t="s">
        <v>108</v>
      </c>
      <c r="R15" s="160"/>
      <c r="S15" s="162">
        <v>1199.78</v>
      </c>
      <c r="T15" s="107">
        <v>0</v>
      </c>
      <c r="U15" s="6">
        <v>1</v>
      </c>
      <c r="V15" s="6">
        <v>25</v>
      </c>
      <c r="W15" s="160">
        <v>2</v>
      </c>
      <c r="X15" s="163">
        <v>44110000</v>
      </c>
      <c r="Y15" s="160" t="s">
        <v>109</v>
      </c>
      <c r="Z15" s="6">
        <v>1199.78</v>
      </c>
      <c r="AA15" s="6">
        <v>0</v>
      </c>
      <c r="AB15" s="6">
        <v>0</v>
      </c>
      <c r="AC15" s="6">
        <v>0</v>
      </c>
      <c r="AD15" s="6"/>
      <c r="AE15" s="6"/>
      <c r="AF15" s="6"/>
      <c r="AG15" s="6"/>
      <c r="AH15" s="6"/>
      <c r="AI15" s="6"/>
      <c r="AJ15" s="6"/>
      <c r="AK15" s="7"/>
      <c r="AL15" s="6">
        <v>101787</v>
      </c>
      <c r="AM15" s="6" t="s">
        <v>116</v>
      </c>
    </row>
    <row r="16" spans="2:39" x14ac:dyDescent="0.2">
      <c r="B16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6" s="158" t="str">
        <f>+CONCATENATE(ZEUFI037[[#This Row],[Type]],"-",ZEUFI037[[#This Row],[G/L Account]])</f>
        <v>ZV-34880000</v>
      </c>
      <c r="D16" s="159" t="str">
        <f>+CONCATENATE(ZEUFI037[[#This Row],[Type]],"-",ZEUFI037[[#This Row],[TCode]],"-",ZEUFI037[[#This Row],[CoCd]],"-",ZEUFI037[[#This Row],[DocumentNo]])</f>
        <v>ZV-FB05-AT01-2000002210</v>
      </c>
      <c r="E16" s="6" t="s">
        <v>101</v>
      </c>
      <c r="F16" s="6" t="s">
        <v>102</v>
      </c>
      <c r="G16" s="6" t="s">
        <v>103</v>
      </c>
      <c r="H16" s="6" t="s">
        <v>104</v>
      </c>
      <c r="I16" s="6" t="s">
        <v>105</v>
      </c>
      <c r="J16" s="6" t="s">
        <v>106</v>
      </c>
      <c r="K16" s="6" t="s">
        <v>107</v>
      </c>
      <c r="L16" s="6">
        <v>2000002210</v>
      </c>
      <c r="M16" s="121">
        <v>45699</v>
      </c>
      <c r="N16" s="121">
        <v>45699</v>
      </c>
      <c r="O16" s="121">
        <v>45699</v>
      </c>
      <c r="P16" s="6" t="s">
        <v>108</v>
      </c>
      <c r="Q16" s="6" t="s">
        <v>108</v>
      </c>
      <c r="R16" s="160"/>
      <c r="S16" s="162">
        <v>1199.78</v>
      </c>
      <c r="T16" s="107">
        <v>0</v>
      </c>
      <c r="U16" s="6">
        <v>2</v>
      </c>
      <c r="V16" s="6">
        <v>18</v>
      </c>
      <c r="W16" s="160">
        <v>1</v>
      </c>
      <c r="X16" s="163">
        <v>34880000</v>
      </c>
      <c r="Y16" s="160" t="s">
        <v>111</v>
      </c>
      <c r="Z16" s="6">
        <v>0</v>
      </c>
      <c r="AA16" s="6">
        <v>0</v>
      </c>
      <c r="AB16" s="6">
        <v>1199.78</v>
      </c>
      <c r="AC16" s="6">
        <v>0</v>
      </c>
      <c r="AD16" s="6" t="s">
        <v>108</v>
      </c>
      <c r="AE16" s="6"/>
      <c r="AF16" s="6"/>
      <c r="AG16" s="6"/>
      <c r="AH16" s="6"/>
      <c r="AI16" s="6"/>
      <c r="AJ16" s="6"/>
      <c r="AK16" s="7"/>
      <c r="AL16" s="6">
        <v>103359</v>
      </c>
      <c r="AM16" s="6" t="s">
        <v>117</v>
      </c>
    </row>
    <row r="17" spans="2:39" x14ac:dyDescent="0.2">
      <c r="B1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7" s="158" t="str">
        <f>+CONCATENATE(ZEUFI037[[#This Row],[Type]],"-",ZEUFI037[[#This Row],[G/L Account]])</f>
        <v>ZV-44110000</v>
      </c>
      <c r="D17" s="159" t="str">
        <f>+CONCATENATE(ZEUFI037[[#This Row],[Type]],"-",ZEUFI037[[#This Row],[TCode]],"-",ZEUFI037[[#This Row],[CoCd]],"-",ZEUFI037[[#This Row],[DocumentNo]])</f>
        <v>ZV-FB05-AT01-2000002211</v>
      </c>
      <c r="E17" s="6" t="s">
        <v>101</v>
      </c>
      <c r="F17" s="6" t="s">
        <v>102</v>
      </c>
      <c r="G17" s="6" t="s">
        <v>103</v>
      </c>
      <c r="H17" s="6" t="s">
        <v>104</v>
      </c>
      <c r="I17" s="6" t="s">
        <v>105</v>
      </c>
      <c r="J17" s="6" t="s">
        <v>106</v>
      </c>
      <c r="K17" s="6" t="s">
        <v>107</v>
      </c>
      <c r="L17" s="6">
        <v>2000002211</v>
      </c>
      <c r="M17" s="121">
        <v>45699</v>
      </c>
      <c r="N17" s="121">
        <v>45699</v>
      </c>
      <c r="O17" s="121">
        <v>45699</v>
      </c>
      <c r="P17" s="6" t="s">
        <v>108</v>
      </c>
      <c r="Q17" s="6" t="s">
        <v>108</v>
      </c>
      <c r="R17" s="160"/>
      <c r="S17" s="162">
        <v>8324.33</v>
      </c>
      <c r="T17" s="107">
        <v>0</v>
      </c>
      <c r="U17" s="6">
        <v>1</v>
      </c>
      <c r="V17" s="6">
        <v>25</v>
      </c>
      <c r="W17" s="160">
        <v>2</v>
      </c>
      <c r="X17" s="163">
        <v>44110000</v>
      </c>
      <c r="Y17" s="160" t="s">
        <v>109</v>
      </c>
      <c r="Z17" s="6">
        <v>8324.33</v>
      </c>
      <c r="AA17" s="6">
        <v>0</v>
      </c>
      <c r="AB17" s="6">
        <v>0</v>
      </c>
      <c r="AC17" s="6">
        <v>0</v>
      </c>
      <c r="AD17" s="6"/>
      <c r="AE17" s="6"/>
      <c r="AF17" s="6"/>
      <c r="AG17" s="6"/>
      <c r="AH17" s="6"/>
      <c r="AI17" s="6"/>
      <c r="AJ17" s="6"/>
      <c r="AK17" s="7"/>
      <c r="AL17" s="6">
        <v>102614</v>
      </c>
      <c r="AM17" s="6" t="s">
        <v>118</v>
      </c>
    </row>
    <row r="18" spans="2:39" x14ac:dyDescent="0.2">
      <c r="B1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8" s="158" t="str">
        <f>+CONCATENATE(ZEUFI037[[#This Row],[Type]],"-",ZEUFI037[[#This Row],[G/L Account]])</f>
        <v>ZV-34880000</v>
      </c>
      <c r="D18" s="159" t="str">
        <f>+CONCATENATE(ZEUFI037[[#This Row],[Type]],"-",ZEUFI037[[#This Row],[TCode]],"-",ZEUFI037[[#This Row],[CoCd]],"-",ZEUFI037[[#This Row],[DocumentNo]])</f>
        <v>ZV-FB05-AT01-2000002211</v>
      </c>
      <c r="E18" s="6" t="s">
        <v>101</v>
      </c>
      <c r="F18" s="6" t="s">
        <v>102</v>
      </c>
      <c r="G18" s="6" t="s">
        <v>103</v>
      </c>
      <c r="H18" s="6" t="s">
        <v>104</v>
      </c>
      <c r="I18" s="6" t="s">
        <v>105</v>
      </c>
      <c r="J18" s="6" t="s">
        <v>106</v>
      </c>
      <c r="K18" s="6" t="s">
        <v>107</v>
      </c>
      <c r="L18" s="6">
        <v>2000002211</v>
      </c>
      <c r="M18" s="121">
        <v>45699</v>
      </c>
      <c r="N18" s="121">
        <v>45699</v>
      </c>
      <c r="O18" s="121">
        <v>45699</v>
      </c>
      <c r="P18" s="6" t="s">
        <v>108</v>
      </c>
      <c r="Q18" s="6" t="s">
        <v>108</v>
      </c>
      <c r="R18" s="160"/>
      <c r="S18" s="162">
        <v>8324.33</v>
      </c>
      <c r="T18" s="107">
        <v>0</v>
      </c>
      <c r="U18" s="6">
        <v>2</v>
      </c>
      <c r="V18" s="6">
        <v>18</v>
      </c>
      <c r="W18" s="160">
        <v>1</v>
      </c>
      <c r="X18" s="163">
        <v>34880000</v>
      </c>
      <c r="Y18" s="160" t="s">
        <v>111</v>
      </c>
      <c r="Z18" s="6">
        <v>0</v>
      </c>
      <c r="AA18" s="6">
        <v>0</v>
      </c>
      <c r="AB18" s="6">
        <v>8324.33</v>
      </c>
      <c r="AC18" s="6">
        <v>0</v>
      </c>
      <c r="AD18" s="6" t="s">
        <v>108</v>
      </c>
      <c r="AE18" s="6"/>
      <c r="AF18" s="6"/>
      <c r="AG18" s="6"/>
      <c r="AH18" s="6"/>
      <c r="AI18" s="6"/>
      <c r="AJ18" s="6"/>
      <c r="AK18" s="7"/>
      <c r="AL18" s="6">
        <v>105131</v>
      </c>
      <c r="AM18" s="6" t="s">
        <v>119</v>
      </c>
    </row>
    <row r="19" spans="2:39" x14ac:dyDescent="0.2">
      <c r="B1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9" s="158" t="str">
        <f>+CONCATENATE(ZEUFI037[[#This Row],[Type]],"-",ZEUFI037[[#This Row],[G/L Account]])</f>
        <v>ZV-44110000</v>
      </c>
      <c r="D19" s="159" t="str">
        <f>+CONCATENATE(ZEUFI037[[#This Row],[Type]],"-",ZEUFI037[[#This Row],[TCode]],"-",ZEUFI037[[#This Row],[CoCd]],"-",ZEUFI037[[#This Row],[DocumentNo]])</f>
        <v>ZV-FB05-AT01-2000002965</v>
      </c>
      <c r="E19" s="6" t="s">
        <v>101</v>
      </c>
      <c r="F19" s="6" t="s">
        <v>102</v>
      </c>
      <c r="G19" s="6" t="s">
        <v>103</v>
      </c>
      <c r="H19" s="6" t="s">
        <v>104</v>
      </c>
      <c r="I19" s="6" t="s">
        <v>105</v>
      </c>
      <c r="J19" s="6" t="s">
        <v>106</v>
      </c>
      <c r="K19" s="6" t="s">
        <v>107</v>
      </c>
      <c r="L19" s="6">
        <v>2000002965</v>
      </c>
      <c r="M19" s="121">
        <v>45708</v>
      </c>
      <c r="N19" s="121">
        <v>45708</v>
      </c>
      <c r="O19" s="121">
        <v>45708</v>
      </c>
      <c r="P19" s="6" t="s">
        <v>120</v>
      </c>
      <c r="Q19" s="6" t="s">
        <v>108</v>
      </c>
      <c r="R19" s="160"/>
      <c r="S19" s="162">
        <v>58898.47</v>
      </c>
      <c r="T19" s="107">
        <v>0</v>
      </c>
      <c r="U19" s="6">
        <v>1</v>
      </c>
      <c r="V19" s="6">
        <v>25</v>
      </c>
      <c r="W19" s="160">
        <v>2</v>
      </c>
      <c r="X19" s="163">
        <v>44110000</v>
      </c>
      <c r="Y19" s="160" t="s">
        <v>109</v>
      </c>
      <c r="Z19" s="6">
        <v>58898.47</v>
      </c>
      <c r="AA19" s="6">
        <v>0</v>
      </c>
      <c r="AB19" s="6">
        <v>0</v>
      </c>
      <c r="AC19" s="6">
        <v>0</v>
      </c>
      <c r="AD19" s="6"/>
      <c r="AE19" s="6"/>
      <c r="AF19" s="6"/>
      <c r="AG19" s="6"/>
      <c r="AH19" s="6"/>
      <c r="AI19" s="6"/>
      <c r="AJ19" s="6"/>
      <c r="AK19" s="7"/>
      <c r="AL19" s="6">
        <v>100467</v>
      </c>
      <c r="AM19" s="6" t="s">
        <v>121</v>
      </c>
    </row>
    <row r="20" spans="2:39" x14ac:dyDescent="0.2">
      <c r="B2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0" s="158" t="str">
        <f>+CONCATENATE(ZEUFI037[[#This Row],[Type]],"-",ZEUFI037[[#This Row],[G/L Account]])</f>
        <v>ZV-34880000</v>
      </c>
      <c r="D20" s="159" t="str">
        <f>+CONCATENATE(ZEUFI037[[#This Row],[Type]],"-",ZEUFI037[[#This Row],[TCode]],"-",ZEUFI037[[#This Row],[CoCd]],"-",ZEUFI037[[#This Row],[DocumentNo]])</f>
        <v>ZV-FB05-AT01-2000002965</v>
      </c>
      <c r="E20" s="6" t="s">
        <v>101</v>
      </c>
      <c r="F20" s="6" t="s">
        <v>102</v>
      </c>
      <c r="G20" s="6" t="s">
        <v>103</v>
      </c>
      <c r="H20" s="6" t="s">
        <v>104</v>
      </c>
      <c r="I20" s="6" t="s">
        <v>105</v>
      </c>
      <c r="J20" s="6" t="s">
        <v>106</v>
      </c>
      <c r="K20" s="6" t="s">
        <v>107</v>
      </c>
      <c r="L20" s="6">
        <v>2000002965</v>
      </c>
      <c r="M20" s="121">
        <v>45708</v>
      </c>
      <c r="N20" s="121">
        <v>45708</v>
      </c>
      <c r="O20" s="121">
        <v>45708</v>
      </c>
      <c r="P20" s="6" t="s">
        <v>120</v>
      </c>
      <c r="Q20" s="6" t="s">
        <v>108</v>
      </c>
      <c r="R20" s="160"/>
      <c r="S20" s="162">
        <v>58898.47</v>
      </c>
      <c r="T20" s="107">
        <v>0</v>
      </c>
      <c r="U20" s="6">
        <v>2</v>
      </c>
      <c r="V20" s="6">
        <v>18</v>
      </c>
      <c r="W20" s="160">
        <v>1</v>
      </c>
      <c r="X20" s="163">
        <v>34880000</v>
      </c>
      <c r="Y20" s="160" t="s">
        <v>111</v>
      </c>
      <c r="Z20" s="6">
        <v>0</v>
      </c>
      <c r="AA20" s="6">
        <v>0</v>
      </c>
      <c r="AB20" s="6">
        <v>58898.47</v>
      </c>
      <c r="AC20" s="6">
        <v>0</v>
      </c>
      <c r="AD20" s="6" t="s">
        <v>108</v>
      </c>
      <c r="AE20" s="6"/>
      <c r="AF20" s="6"/>
      <c r="AG20" s="6"/>
      <c r="AH20" s="6"/>
      <c r="AI20" s="6"/>
      <c r="AJ20" s="6"/>
      <c r="AK20" s="7"/>
      <c r="AL20" s="6">
        <v>100325</v>
      </c>
      <c r="AM20" s="6" t="s">
        <v>121</v>
      </c>
    </row>
    <row r="21" spans="2:39" x14ac:dyDescent="0.2">
      <c r="B2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1" s="158" t="str">
        <f>+CONCATENATE(ZEUFI037[[#This Row],[Type]],"-",ZEUFI037[[#This Row],[G/L Account]])</f>
        <v>ZV-44110000</v>
      </c>
      <c r="D21" s="159" t="str">
        <f>+CONCATENATE(ZEUFI037[[#This Row],[Type]],"-",ZEUFI037[[#This Row],[TCode]],"-",ZEUFI037[[#This Row],[CoCd]],"-",ZEUFI037[[#This Row],[DocumentNo]])</f>
        <v>ZV-FB05-AT01-2000002966</v>
      </c>
      <c r="E21" s="6" t="s">
        <v>101</v>
      </c>
      <c r="F21" s="6" t="s">
        <v>102</v>
      </c>
      <c r="G21" s="6" t="s">
        <v>103</v>
      </c>
      <c r="H21" s="6" t="s">
        <v>104</v>
      </c>
      <c r="I21" s="6" t="s">
        <v>105</v>
      </c>
      <c r="J21" s="6" t="s">
        <v>106</v>
      </c>
      <c r="K21" s="6" t="s">
        <v>107</v>
      </c>
      <c r="L21" s="6">
        <v>2000002966</v>
      </c>
      <c r="M21" s="121">
        <v>45708</v>
      </c>
      <c r="N21" s="121">
        <v>45708</v>
      </c>
      <c r="O21" s="121">
        <v>45708</v>
      </c>
      <c r="P21" s="6" t="s">
        <v>120</v>
      </c>
      <c r="Q21" s="6" t="s">
        <v>108</v>
      </c>
      <c r="R21" s="160"/>
      <c r="S21" s="162">
        <v>53990.89</v>
      </c>
      <c r="T21" s="107">
        <v>0</v>
      </c>
      <c r="U21" s="6">
        <v>1</v>
      </c>
      <c r="V21" s="6">
        <v>25</v>
      </c>
      <c r="W21" s="160">
        <v>2</v>
      </c>
      <c r="X21" s="163">
        <v>44110000</v>
      </c>
      <c r="Y21" s="160" t="s">
        <v>109</v>
      </c>
      <c r="Z21" s="6">
        <v>53990.89</v>
      </c>
      <c r="AA21" s="6">
        <v>0</v>
      </c>
      <c r="AB21" s="6">
        <v>0</v>
      </c>
      <c r="AC21" s="6">
        <v>0</v>
      </c>
      <c r="AD21" s="6"/>
      <c r="AE21" s="6"/>
      <c r="AF21" s="6"/>
      <c r="AG21" s="6"/>
      <c r="AH21" s="6"/>
      <c r="AI21" s="6"/>
      <c r="AJ21" s="6"/>
      <c r="AK21" s="7"/>
      <c r="AL21" s="6">
        <v>102008</v>
      </c>
      <c r="AM21" s="6" t="s">
        <v>122</v>
      </c>
    </row>
    <row r="22" spans="2:39" x14ac:dyDescent="0.2">
      <c r="B22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2" s="158" t="str">
        <f>+CONCATENATE(ZEUFI037[[#This Row],[Type]],"-",ZEUFI037[[#This Row],[G/L Account]])</f>
        <v>ZV-34880000</v>
      </c>
      <c r="D22" s="159" t="str">
        <f>+CONCATENATE(ZEUFI037[[#This Row],[Type]],"-",ZEUFI037[[#This Row],[TCode]],"-",ZEUFI037[[#This Row],[CoCd]],"-",ZEUFI037[[#This Row],[DocumentNo]])</f>
        <v>ZV-FB05-AT01-2000002966</v>
      </c>
      <c r="E22" s="6" t="s">
        <v>101</v>
      </c>
      <c r="F22" s="6" t="s">
        <v>102</v>
      </c>
      <c r="G22" s="6" t="s">
        <v>103</v>
      </c>
      <c r="H22" s="6" t="s">
        <v>104</v>
      </c>
      <c r="I22" s="6" t="s">
        <v>105</v>
      </c>
      <c r="J22" s="6" t="s">
        <v>106</v>
      </c>
      <c r="K22" s="6" t="s">
        <v>107</v>
      </c>
      <c r="L22" s="6">
        <v>2000002966</v>
      </c>
      <c r="M22" s="121">
        <v>45708</v>
      </c>
      <c r="N22" s="121">
        <v>45708</v>
      </c>
      <c r="O22" s="121">
        <v>45708</v>
      </c>
      <c r="P22" s="6" t="s">
        <v>120</v>
      </c>
      <c r="Q22" s="6" t="s">
        <v>108</v>
      </c>
      <c r="R22" s="160"/>
      <c r="S22" s="162">
        <v>53990.89</v>
      </c>
      <c r="T22" s="107">
        <v>0</v>
      </c>
      <c r="U22" s="6">
        <v>2</v>
      </c>
      <c r="V22" s="6">
        <v>18</v>
      </c>
      <c r="W22" s="160">
        <v>1</v>
      </c>
      <c r="X22" s="163">
        <v>34880000</v>
      </c>
      <c r="Y22" s="160" t="s">
        <v>111</v>
      </c>
      <c r="Z22" s="6">
        <v>0</v>
      </c>
      <c r="AA22" s="6">
        <v>0</v>
      </c>
      <c r="AB22" s="6">
        <v>53990.89</v>
      </c>
      <c r="AC22" s="6">
        <v>0</v>
      </c>
      <c r="AD22" s="6" t="s">
        <v>108</v>
      </c>
      <c r="AE22" s="6"/>
      <c r="AF22" s="6"/>
      <c r="AG22" s="6"/>
      <c r="AH22" s="6"/>
      <c r="AI22" s="6"/>
      <c r="AJ22" s="6"/>
      <c r="AK22" s="7"/>
      <c r="AL22" s="6">
        <v>103844</v>
      </c>
      <c r="AM22" s="6" t="s">
        <v>122</v>
      </c>
    </row>
    <row r="23" spans="2:39" x14ac:dyDescent="0.2">
      <c r="B23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3" s="158" t="str">
        <f>+CONCATENATE(ZEUFI037[[#This Row],[Type]],"-",ZEUFI037[[#This Row],[G/L Account]])</f>
        <v>ZV-44110000</v>
      </c>
      <c r="D23" s="159" t="str">
        <f>+CONCATENATE(ZEUFI037[[#This Row],[Type]],"-",ZEUFI037[[#This Row],[TCode]],"-",ZEUFI037[[#This Row],[CoCd]],"-",ZEUFI037[[#This Row],[DocumentNo]])</f>
        <v>ZV-FB05-AT01-2000002967</v>
      </c>
      <c r="E23" s="6" t="s">
        <v>101</v>
      </c>
      <c r="F23" s="6" t="s">
        <v>102</v>
      </c>
      <c r="G23" s="6" t="s">
        <v>103</v>
      </c>
      <c r="H23" s="6" t="s">
        <v>104</v>
      </c>
      <c r="I23" s="6" t="s">
        <v>105</v>
      </c>
      <c r="J23" s="6" t="s">
        <v>106</v>
      </c>
      <c r="K23" s="6" t="s">
        <v>107</v>
      </c>
      <c r="L23" s="6">
        <v>2000002967</v>
      </c>
      <c r="M23" s="121">
        <v>45708</v>
      </c>
      <c r="N23" s="121">
        <v>45708</v>
      </c>
      <c r="O23" s="121">
        <v>45708</v>
      </c>
      <c r="P23" s="6" t="s">
        <v>120</v>
      </c>
      <c r="Q23" s="6" t="s">
        <v>108</v>
      </c>
      <c r="R23" s="160"/>
      <c r="S23" s="162">
        <v>12666.58</v>
      </c>
      <c r="T23" s="107">
        <v>0</v>
      </c>
      <c r="U23" s="6">
        <v>1</v>
      </c>
      <c r="V23" s="6">
        <v>25</v>
      </c>
      <c r="W23" s="160">
        <v>2</v>
      </c>
      <c r="X23" s="163">
        <v>44110000</v>
      </c>
      <c r="Y23" s="160" t="s">
        <v>109</v>
      </c>
      <c r="Z23" s="6">
        <v>12666.58</v>
      </c>
      <c r="AA23" s="6">
        <v>0</v>
      </c>
      <c r="AB23" s="6">
        <v>0</v>
      </c>
      <c r="AC23" s="6">
        <v>0</v>
      </c>
      <c r="AD23" s="6"/>
      <c r="AE23" s="6"/>
      <c r="AF23" s="6"/>
      <c r="AG23" s="6"/>
      <c r="AH23" s="6"/>
      <c r="AI23" s="6"/>
      <c r="AJ23" s="6"/>
      <c r="AK23" s="7"/>
      <c r="AL23" s="6">
        <v>101647</v>
      </c>
      <c r="AM23" s="6" t="s">
        <v>123</v>
      </c>
    </row>
    <row r="24" spans="2:39" x14ac:dyDescent="0.2">
      <c r="B24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4" s="158" t="str">
        <f>+CONCATENATE(ZEUFI037[[#This Row],[Type]],"-",ZEUFI037[[#This Row],[G/L Account]])</f>
        <v>ZV-34880000</v>
      </c>
      <c r="D24" s="159" t="str">
        <f>+CONCATENATE(ZEUFI037[[#This Row],[Type]],"-",ZEUFI037[[#This Row],[TCode]],"-",ZEUFI037[[#This Row],[CoCd]],"-",ZEUFI037[[#This Row],[DocumentNo]])</f>
        <v>ZV-FB05-AT01-2000002967</v>
      </c>
      <c r="E24" s="6" t="s">
        <v>101</v>
      </c>
      <c r="F24" s="6" t="s">
        <v>102</v>
      </c>
      <c r="G24" s="6" t="s">
        <v>103</v>
      </c>
      <c r="H24" s="6" t="s">
        <v>104</v>
      </c>
      <c r="I24" s="6" t="s">
        <v>105</v>
      </c>
      <c r="J24" s="6" t="s">
        <v>106</v>
      </c>
      <c r="K24" s="6" t="s">
        <v>107</v>
      </c>
      <c r="L24" s="6">
        <v>2000002967</v>
      </c>
      <c r="M24" s="121">
        <v>45708</v>
      </c>
      <c r="N24" s="121">
        <v>45708</v>
      </c>
      <c r="O24" s="121">
        <v>45708</v>
      </c>
      <c r="P24" s="6" t="s">
        <v>120</v>
      </c>
      <c r="Q24" s="6" t="s">
        <v>108</v>
      </c>
      <c r="R24" s="160"/>
      <c r="S24" s="162">
        <v>12666.58</v>
      </c>
      <c r="T24" s="107">
        <v>0</v>
      </c>
      <c r="U24" s="6">
        <v>2</v>
      </c>
      <c r="V24" s="6">
        <v>18</v>
      </c>
      <c r="W24" s="160">
        <v>1</v>
      </c>
      <c r="X24" s="163">
        <v>34880000</v>
      </c>
      <c r="Y24" s="160" t="s">
        <v>111</v>
      </c>
      <c r="Z24" s="6">
        <v>0</v>
      </c>
      <c r="AA24" s="6">
        <v>0</v>
      </c>
      <c r="AB24" s="6">
        <v>12666.58</v>
      </c>
      <c r="AC24" s="6">
        <v>0</v>
      </c>
      <c r="AD24" s="6" t="s">
        <v>108</v>
      </c>
      <c r="AE24" s="6"/>
      <c r="AF24" s="6"/>
      <c r="AG24" s="6"/>
      <c r="AH24" s="6"/>
      <c r="AI24" s="6"/>
      <c r="AJ24" s="6"/>
      <c r="AK24" s="7"/>
      <c r="AL24" s="6">
        <v>103079</v>
      </c>
      <c r="AM24" s="6" t="s">
        <v>123</v>
      </c>
    </row>
    <row r="25" spans="2:39" x14ac:dyDescent="0.2">
      <c r="B25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5" s="158" t="str">
        <f>+CONCATENATE(ZEUFI037[[#This Row],[Type]],"-",ZEUFI037[[#This Row],[G/L Account]])</f>
        <v>ZV-44110000</v>
      </c>
      <c r="D25" s="159" t="str">
        <f>+CONCATENATE(ZEUFI037[[#This Row],[Type]],"-",ZEUFI037[[#This Row],[TCode]],"-",ZEUFI037[[#This Row],[CoCd]],"-",ZEUFI037[[#This Row],[DocumentNo]])</f>
        <v>ZV-FB05-AT01-2000002968</v>
      </c>
      <c r="E25" s="6" t="s">
        <v>101</v>
      </c>
      <c r="F25" s="6" t="s">
        <v>102</v>
      </c>
      <c r="G25" s="6" t="s">
        <v>103</v>
      </c>
      <c r="H25" s="6" t="s">
        <v>104</v>
      </c>
      <c r="I25" s="6" t="s">
        <v>105</v>
      </c>
      <c r="J25" s="6" t="s">
        <v>106</v>
      </c>
      <c r="K25" s="6" t="s">
        <v>107</v>
      </c>
      <c r="L25" s="6">
        <v>2000002968</v>
      </c>
      <c r="M25" s="121">
        <v>45708</v>
      </c>
      <c r="N25" s="121">
        <v>45708</v>
      </c>
      <c r="O25" s="121">
        <v>45708</v>
      </c>
      <c r="P25" s="6" t="s">
        <v>120</v>
      </c>
      <c r="Q25" s="6" t="s">
        <v>108</v>
      </c>
      <c r="R25" s="160"/>
      <c r="S25" s="162">
        <v>6222.95</v>
      </c>
      <c r="T25" s="107">
        <v>0</v>
      </c>
      <c r="U25" s="6">
        <v>1</v>
      </c>
      <c r="V25" s="6">
        <v>25</v>
      </c>
      <c r="W25" s="160">
        <v>2</v>
      </c>
      <c r="X25" s="163">
        <v>44110000</v>
      </c>
      <c r="Y25" s="160" t="s">
        <v>109</v>
      </c>
      <c r="Z25" s="6">
        <v>6222.95</v>
      </c>
      <c r="AA25" s="6">
        <v>0</v>
      </c>
      <c r="AB25" s="6">
        <v>0</v>
      </c>
      <c r="AC25" s="6">
        <v>0</v>
      </c>
      <c r="AD25" s="6"/>
      <c r="AE25" s="6"/>
      <c r="AF25" s="6"/>
      <c r="AG25" s="6"/>
      <c r="AH25" s="6"/>
      <c r="AI25" s="6"/>
      <c r="AJ25" s="6"/>
      <c r="AK25" s="7"/>
      <c r="AL25" s="6">
        <v>101979</v>
      </c>
      <c r="AM25" s="6" t="s">
        <v>124</v>
      </c>
    </row>
    <row r="26" spans="2:39" x14ac:dyDescent="0.2">
      <c r="B26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6" s="158" t="str">
        <f>+CONCATENATE(ZEUFI037[[#This Row],[Type]],"-",ZEUFI037[[#This Row],[G/L Account]])</f>
        <v>ZV-34880000</v>
      </c>
      <c r="D26" s="159" t="str">
        <f>+CONCATENATE(ZEUFI037[[#This Row],[Type]],"-",ZEUFI037[[#This Row],[TCode]],"-",ZEUFI037[[#This Row],[CoCd]],"-",ZEUFI037[[#This Row],[DocumentNo]])</f>
        <v>ZV-FB05-AT01-2000002968</v>
      </c>
      <c r="E26" s="6" t="s">
        <v>101</v>
      </c>
      <c r="F26" s="6" t="s">
        <v>102</v>
      </c>
      <c r="G26" s="6" t="s">
        <v>103</v>
      </c>
      <c r="H26" s="6" t="s">
        <v>104</v>
      </c>
      <c r="I26" s="6" t="s">
        <v>105</v>
      </c>
      <c r="J26" s="6" t="s">
        <v>106</v>
      </c>
      <c r="K26" s="6" t="s">
        <v>107</v>
      </c>
      <c r="L26" s="6">
        <v>2000002968</v>
      </c>
      <c r="M26" s="121">
        <v>45708</v>
      </c>
      <c r="N26" s="121">
        <v>45708</v>
      </c>
      <c r="O26" s="121">
        <v>45708</v>
      </c>
      <c r="P26" s="6" t="s">
        <v>120</v>
      </c>
      <c r="Q26" s="6" t="s">
        <v>108</v>
      </c>
      <c r="R26" s="160"/>
      <c r="S26" s="162">
        <v>6222.95</v>
      </c>
      <c r="T26" s="107">
        <v>0</v>
      </c>
      <c r="U26" s="6">
        <v>2</v>
      </c>
      <c r="V26" s="6">
        <v>18</v>
      </c>
      <c r="W26" s="160">
        <v>1</v>
      </c>
      <c r="X26" s="163">
        <v>34880000</v>
      </c>
      <c r="Y26" s="160" t="s">
        <v>111</v>
      </c>
      <c r="Z26" s="6">
        <v>0</v>
      </c>
      <c r="AA26" s="6">
        <v>0</v>
      </c>
      <c r="AB26" s="6">
        <v>6222.95</v>
      </c>
      <c r="AC26" s="6">
        <v>0</v>
      </c>
      <c r="AD26" s="6" t="s">
        <v>108</v>
      </c>
      <c r="AE26" s="6"/>
      <c r="AF26" s="6"/>
      <c r="AG26" s="6"/>
      <c r="AH26" s="6"/>
      <c r="AI26" s="6"/>
      <c r="AJ26" s="6"/>
      <c r="AK26" s="7"/>
      <c r="AL26" s="6">
        <v>103772</v>
      </c>
      <c r="AM26" s="6" t="s">
        <v>124</v>
      </c>
    </row>
    <row r="27" spans="2:39" x14ac:dyDescent="0.2">
      <c r="B2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7" s="158" t="str">
        <f>+CONCATENATE(ZEUFI037[[#This Row],[Type]],"-",ZEUFI037[[#This Row],[G/L Account]])</f>
        <v>ZV-34880000</v>
      </c>
      <c r="D27" s="159" t="str">
        <f>+CONCATENATE(ZEUFI037[[#This Row],[Type]],"-",ZEUFI037[[#This Row],[TCode]],"-",ZEUFI037[[#This Row],[CoCd]],"-",ZEUFI037[[#This Row],[DocumentNo]])</f>
        <v>ZV-FB05-AT01-2000002969</v>
      </c>
      <c r="E27" s="6" t="s">
        <v>101</v>
      </c>
      <c r="F27" s="6" t="s">
        <v>102</v>
      </c>
      <c r="G27" s="6" t="s">
        <v>103</v>
      </c>
      <c r="H27" s="6" t="s">
        <v>104</v>
      </c>
      <c r="I27" s="6" t="s">
        <v>105</v>
      </c>
      <c r="J27" s="6" t="s">
        <v>106</v>
      </c>
      <c r="K27" s="6" t="s">
        <v>107</v>
      </c>
      <c r="L27" s="6">
        <v>2000002969</v>
      </c>
      <c r="M27" s="121">
        <v>45708</v>
      </c>
      <c r="N27" s="121">
        <v>45708</v>
      </c>
      <c r="O27" s="121">
        <v>45708</v>
      </c>
      <c r="P27" s="6" t="s">
        <v>120</v>
      </c>
      <c r="Q27" s="6" t="s">
        <v>108</v>
      </c>
      <c r="R27" s="160"/>
      <c r="S27" s="162">
        <v>8209.82</v>
      </c>
      <c r="T27" s="107">
        <v>0</v>
      </c>
      <c r="U27" s="6">
        <v>2</v>
      </c>
      <c r="V27" s="6">
        <v>18</v>
      </c>
      <c r="W27" s="160">
        <v>1</v>
      </c>
      <c r="X27" s="163">
        <v>34880000</v>
      </c>
      <c r="Y27" s="160" t="s">
        <v>111</v>
      </c>
      <c r="Z27" s="6">
        <v>0</v>
      </c>
      <c r="AA27" s="6">
        <v>0</v>
      </c>
      <c r="AB27" s="6">
        <v>8209.82</v>
      </c>
      <c r="AC27" s="6">
        <v>0</v>
      </c>
      <c r="AD27" s="6" t="s">
        <v>108</v>
      </c>
      <c r="AE27" s="6"/>
      <c r="AF27" s="6"/>
      <c r="AG27" s="6"/>
      <c r="AH27" s="6"/>
      <c r="AI27" s="6"/>
      <c r="AJ27" s="6"/>
      <c r="AK27" s="7"/>
      <c r="AL27" s="6">
        <v>103772</v>
      </c>
      <c r="AM27" s="6" t="s">
        <v>124</v>
      </c>
    </row>
    <row r="28" spans="2:39" x14ac:dyDescent="0.2">
      <c r="B2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8" s="158" t="str">
        <f>+CONCATENATE(ZEUFI037[[#This Row],[Type]],"-",ZEUFI037[[#This Row],[G/L Account]])</f>
        <v>ZV-44110000</v>
      </c>
      <c r="D28" s="159" t="str">
        <f>+CONCATENATE(ZEUFI037[[#This Row],[Type]],"-",ZEUFI037[[#This Row],[TCode]],"-",ZEUFI037[[#This Row],[CoCd]],"-",ZEUFI037[[#This Row],[DocumentNo]])</f>
        <v>ZV-FB05-AT01-2000002969</v>
      </c>
      <c r="E28" s="6" t="s">
        <v>101</v>
      </c>
      <c r="F28" s="6" t="s">
        <v>102</v>
      </c>
      <c r="G28" s="6" t="s">
        <v>103</v>
      </c>
      <c r="H28" s="6" t="s">
        <v>104</v>
      </c>
      <c r="I28" s="6" t="s">
        <v>105</v>
      </c>
      <c r="J28" s="6" t="s">
        <v>106</v>
      </c>
      <c r="K28" s="6" t="s">
        <v>107</v>
      </c>
      <c r="L28" s="6">
        <v>2000002969</v>
      </c>
      <c r="M28" s="121">
        <v>45708</v>
      </c>
      <c r="N28" s="121">
        <v>45708</v>
      </c>
      <c r="O28" s="121">
        <v>45708</v>
      </c>
      <c r="P28" s="6" t="s">
        <v>120</v>
      </c>
      <c r="Q28" s="6" t="s">
        <v>108</v>
      </c>
      <c r="R28" s="160"/>
      <c r="S28" s="162">
        <v>8209.82</v>
      </c>
      <c r="T28" s="107">
        <v>0</v>
      </c>
      <c r="U28" s="6">
        <v>1</v>
      </c>
      <c r="V28" s="6">
        <v>25</v>
      </c>
      <c r="W28" s="160">
        <v>2</v>
      </c>
      <c r="X28" s="163">
        <v>44110000</v>
      </c>
      <c r="Y28" s="160" t="s">
        <v>109</v>
      </c>
      <c r="Z28" s="6">
        <v>8209.82</v>
      </c>
      <c r="AA28" s="6">
        <v>0</v>
      </c>
      <c r="AB28" s="6">
        <v>0</v>
      </c>
      <c r="AC28" s="6">
        <v>0</v>
      </c>
      <c r="AD28" s="6"/>
      <c r="AE28" s="6"/>
      <c r="AF28" s="6"/>
      <c r="AG28" s="6"/>
      <c r="AH28" s="6"/>
      <c r="AI28" s="6"/>
      <c r="AJ28" s="6"/>
      <c r="AK28" s="7"/>
      <c r="AL28" s="6">
        <v>101979</v>
      </c>
      <c r="AM28" s="6" t="s">
        <v>124</v>
      </c>
    </row>
    <row r="29" spans="2:39" x14ac:dyDescent="0.2">
      <c r="B2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9" s="158" t="str">
        <f>+CONCATENATE(ZEUFI037[[#This Row],[Type]],"-",ZEUFI037[[#This Row],[G/L Account]])</f>
        <v>ZV-34880000</v>
      </c>
      <c r="D29" s="159" t="str">
        <f>+CONCATENATE(ZEUFI037[[#This Row],[Type]],"-",ZEUFI037[[#This Row],[TCode]],"-",ZEUFI037[[#This Row],[CoCd]],"-",ZEUFI037[[#This Row],[DocumentNo]])</f>
        <v>ZV-FB05-AT01-2000002970</v>
      </c>
      <c r="E29" s="6" t="s">
        <v>101</v>
      </c>
      <c r="F29" s="6" t="s">
        <v>102</v>
      </c>
      <c r="G29" s="6" t="s">
        <v>103</v>
      </c>
      <c r="H29" s="6" t="s">
        <v>104</v>
      </c>
      <c r="I29" s="6" t="s">
        <v>105</v>
      </c>
      <c r="J29" s="6" t="s">
        <v>106</v>
      </c>
      <c r="K29" s="6" t="s">
        <v>107</v>
      </c>
      <c r="L29" s="6">
        <v>2000002970</v>
      </c>
      <c r="M29" s="121">
        <v>45708</v>
      </c>
      <c r="N29" s="121">
        <v>45708</v>
      </c>
      <c r="O29" s="121">
        <v>45708</v>
      </c>
      <c r="P29" s="6" t="s">
        <v>120</v>
      </c>
      <c r="Q29" s="6" t="s">
        <v>108</v>
      </c>
      <c r="R29" s="160"/>
      <c r="S29" s="162">
        <v>10515.65</v>
      </c>
      <c r="T29" s="107">
        <v>0</v>
      </c>
      <c r="U29" s="6">
        <v>2</v>
      </c>
      <c r="V29" s="6">
        <v>18</v>
      </c>
      <c r="W29" s="160">
        <v>1</v>
      </c>
      <c r="X29" s="163">
        <v>34880000</v>
      </c>
      <c r="Y29" s="160" t="s">
        <v>111</v>
      </c>
      <c r="Z29" s="6">
        <v>0</v>
      </c>
      <c r="AA29" s="6">
        <v>0</v>
      </c>
      <c r="AB29" s="6">
        <v>10515.65</v>
      </c>
      <c r="AC29" s="6">
        <v>0</v>
      </c>
      <c r="AD29" s="6" t="s">
        <v>108</v>
      </c>
      <c r="AE29" s="6"/>
      <c r="AF29" s="6"/>
      <c r="AG29" s="6"/>
      <c r="AH29" s="6"/>
      <c r="AI29" s="6"/>
      <c r="AJ29" s="6"/>
      <c r="AK29" s="7"/>
      <c r="AL29" s="6">
        <v>104060</v>
      </c>
      <c r="AM29" s="6" t="s">
        <v>125</v>
      </c>
    </row>
    <row r="30" spans="2:39" x14ac:dyDescent="0.2">
      <c r="B3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0" s="158" t="str">
        <f>+CONCATENATE(ZEUFI037[[#This Row],[Type]],"-",ZEUFI037[[#This Row],[G/L Account]])</f>
        <v>ZV-44110000</v>
      </c>
      <c r="D30" s="159" t="str">
        <f>+CONCATENATE(ZEUFI037[[#This Row],[Type]],"-",ZEUFI037[[#This Row],[TCode]],"-",ZEUFI037[[#This Row],[CoCd]],"-",ZEUFI037[[#This Row],[DocumentNo]])</f>
        <v>ZV-FB05-AT01-2000002970</v>
      </c>
      <c r="E30" s="6" t="s">
        <v>101</v>
      </c>
      <c r="F30" s="6" t="s">
        <v>102</v>
      </c>
      <c r="G30" s="6" t="s">
        <v>103</v>
      </c>
      <c r="H30" s="6" t="s">
        <v>104</v>
      </c>
      <c r="I30" s="6" t="s">
        <v>105</v>
      </c>
      <c r="J30" s="6" t="s">
        <v>106</v>
      </c>
      <c r="K30" s="6" t="s">
        <v>107</v>
      </c>
      <c r="L30" s="6">
        <v>2000002970</v>
      </c>
      <c r="M30" s="121">
        <v>45708</v>
      </c>
      <c r="N30" s="121">
        <v>45708</v>
      </c>
      <c r="O30" s="121">
        <v>45708</v>
      </c>
      <c r="P30" s="6" t="s">
        <v>120</v>
      </c>
      <c r="Q30" s="6" t="s">
        <v>108</v>
      </c>
      <c r="R30" s="160"/>
      <c r="S30" s="162">
        <v>10515.65</v>
      </c>
      <c r="T30" s="107">
        <v>0</v>
      </c>
      <c r="U30" s="6">
        <v>1</v>
      </c>
      <c r="V30" s="6">
        <v>25</v>
      </c>
      <c r="W30" s="160">
        <v>2</v>
      </c>
      <c r="X30" s="163">
        <v>44110000</v>
      </c>
      <c r="Y30" s="160" t="s">
        <v>109</v>
      </c>
      <c r="Z30" s="6">
        <v>10515.65</v>
      </c>
      <c r="AA30" s="6">
        <v>0</v>
      </c>
      <c r="AB30" s="6">
        <v>0</v>
      </c>
      <c r="AC30" s="6">
        <v>0</v>
      </c>
      <c r="AD30" s="6"/>
      <c r="AE30" s="6"/>
      <c r="AF30" s="6"/>
      <c r="AG30" s="6"/>
      <c r="AH30" s="6"/>
      <c r="AI30" s="6"/>
      <c r="AJ30" s="6"/>
      <c r="AK30" s="7"/>
      <c r="AL30" s="6">
        <v>102068</v>
      </c>
      <c r="AM30" s="6" t="s">
        <v>126</v>
      </c>
    </row>
    <row r="31" spans="2:39" x14ac:dyDescent="0.2">
      <c r="B3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1" s="158" t="str">
        <f>+CONCATENATE(ZEUFI037[[#This Row],[Type]],"-",ZEUFI037[[#This Row],[G/L Account]])</f>
        <v>ZV-44110000</v>
      </c>
      <c r="D31" s="159" t="str">
        <f>+CONCATENATE(ZEUFI037[[#This Row],[Type]],"-",ZEUFI037[[#This Row],[TCode]],"-",ZEUFI037[[#This Row],[CoCd]],"-",ZEUFI037[[#This Row],[DocumentNo]])</f>
        <v>ZV-FB05-AT01-2000002971</v>
      </c>
      <c r="E31" s="6" t="s">
        <v>101</v>
      </c>
      <c r="F31" s="6" t="s">
        <v>102</v>
      </c>
      <c r="G31" s="6" t="s">
        <v>103</v>
      </c>
      <c r="H31" s="6" t="s">
        <v>104</v>
      </c>
      <c r="I31" s="6" t="s">
        <v>105</v>
      </c>
      <c r="J31" s="6" t="s">
        <v>106</v>
      </c>
      <c r="K31" s="6" t="s">
        <v>107</v>
      </c>
      <c r="L31" s="6">
        <v>2000002971</v>
      </c>
      <c r="M31" s="121">
        <v>45708</v>
      </c>
      <c r="N31" s="121">
        <v>45708</v>
      </c>
      <c r="O31" s="121">
        <v>45708</v>
      </c>
      <c r="P31" s="6" t="s">
        <v>120</v>
      </c>
      <c r="Q31" s="6" t="s">
        <v>108</v>
      </c>
      <c r="R31" s="160"/>
      <c r="S31" s="162">
        <v>28888.61</v>
      </c>
      <c r="T31" s="107">
        <v>0</v>
      </c>
      <c r="U31" s="6">
        <v>1</v>
      </c>
      <c r="V31" s="6">
        <v>25</v>
      </c>
      <c r="W31" s="160">
        <v>2</v>
      </c>
      <c r="X31" s="163">
        <v>44110000</v>
      </c>
      <c r="Y31" s="160" t="s">
        <v>109</v>
      </c>
      <c r="Z31" s="6">
        <v>28888.61</v>
      </c>
      <c r="AA31" s="6">
        <v>0</v>
      </c>
      <c r="AB31" s="6">
        <v>0</v>
      </c>
      <c r="AC31" s="6">
        <v>0</v>
      </c>
      <c r="AD31" s="6"/>
      <c r="AE31" s="6"/>
      <c r="AF31" s="6"/>
      <c r="AG31" s="6"/>
      <c r="AH31" s="6"/>
      <c r="AI31" s="6"/>
      <c r="AJ31" s="6"/>
      <c r="AK31" s="7"/>
      <c r="AL31" s="6">
        <v>102383</v>
      </c>
      <c r="AM31" s="6" t="s">
        <v>127</v>
      </c>
    </row>
    <row r="32" spans="2:39" x14ac:dyDescent="0.2">
      <c r="B32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2" s="158" t="str">
        <f>+CONCATENATE(ZEUFI037[[#This Row],[Type]],"-",ZEUFI037[[#This Row],[G/L Account]])</f>
        <v>ZV-34880000</v>
      </c>
      <c r="D32" s="159" t="str">
        <f>+CONCATENATE(ZEUFI037[[#This Row],[Type]],"-",ZEUFI037[[#This Row],[TCode]],"-",ZEUFI037[[#This Row],[CoCd]],"-",ZEUFI037[[#This Row],[DocumentNo]])</f>
        <v>ZV-FB05-AT01-2000002971</v>
      </c>
      <c r="E32" s="6" t="s">
        <v>101</v>
      </c>
      <c r="F32" s="6" t="s">
        <v>102</v>
      </c>
      <c r="G32" s="6" t="s">
        <v>103</v>
      </c>
      <c r="H32" s="6" t="s">
        <v>104</v>
      </c>
      <c r="I32" s="6" t="s">
        <v>105</v>
      </c>
      <c r="J32" s="6" t="s">
        <v>106</v>
      </c>
      <c r="K32" s="6" t="s">
        <v>107</v>
      </c>
      <c r="L32" s="6">
        <v>2000002971</v>
      </c>
      <c r="M32" s="121">
        <v>45708</v>
      </c>
      <c r="N32" s="121">
        <v>45708</v>
      </c>
      <c r="O32" s="121">
        <v>45708</v>
      </c>
      <c r="P32" s="6" t="s">
        <v>120</v>
      </c>
      <c r="Q32" s="6" t="s">
        <v>108</v>
      </c>
      <c r="R32" s="160"/>
      <c r="S32" s="162">
        <v>28888.61</v>
      </c>
      <c r="T32" s="107">
        <v>0</v>
      </c>
      <c r="U32" s="6">
        <v>2</v>
      </c>
      <c r="V32" s="6">
        <v>18</v>
      </c>
      <c r="W32" s="160">
        <v>1</v>
      </c>
      <c r="X32" s="163">
        <v>34880000</v>
      </c>
      <c r="Y32" s="160" t="s">
        <v>111</v>
      </c>
      <c r="Z32" s="6">
        <v>0</v>
      </c>
      <c r="AA32" s="6">
        <v>0</v>
      </c>
      <c r="AB32" s="6">
        <v>28888.61</v>
      </c>
      <c r="AC32" s="6">
        <v>0</v>
      </c>
      <c r="AD32" s="6" t="s">
        <v>108</v>
      </c>
      <c r="AE32" s="6"/>
      <c r="AF32" s="6"/>
      <c r="AG32" s="6"/>
      <c r="AH32" s="6"/>
      <c r="AI32" s="6"/>
      <c r="AJ32" s="6"/>
      <c r="AK32" s="7"/>
      <c r="AL32" s="6">
        <v>104693</v>
      </c>
      <c r="AM32" s="6" t="s">
        <v>127</v>
      </c>
    </row>
    <row r="33" spans="2:39" x14ac:dyDescent="0.2">
      <c r="B33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3" s="158" t="str">
        <f>+CONCATENATE(ZEUFI037[[#This Row],[Type]],"-",ZEUFI037[[#This Row],[G/L Account]])</f>
        <v>ZV-44110000</v>
      </c>
      <c r="D33" s="159" t="str">
        <f>+CONCATENATE(ZEUFI037[[#This Row],[Type]],"-",ZEUFI037[[#This Row],[TCode]],"-",ZEUFI037[[#This Row],[CoCd]],"-",ZEUFI037[[#This Row],[DocumentNo]])</f>
        <v>ZV-FB05-AT01-2000002972</v>
      </c>
      <c r="E33" s="6" t="s">
        <v>101</v>
      </c>
      <c r="F33" s="6" t="s">
        <v>102</v>
      </c>
      <c r="G33" s="6" t="s">
        <v>103</v>
      </c>
      <c r="H33" s="6" t="s">
        <v>104</v>
      </c>
      <c r="I33" s="6" t="s">
        <v>105</v>
      </c>
      <c r="J33" s="6" t="s">
        <v>106</v>
      </c>
      <c r="K33" s="6" t="s">
        <v>107</v>
      </c>
      <c r="L33" s="6">
        <v>2000002972</v>
      </c>
      <c r="M33" s="121">
        <v>45708</v>
      </c>
      <c r="N33" s="121">
        <v>45708</v>
      </c>
      <c r="O33" s="121">
        <v>45708</v>
      </c>
      <c r="P33" s="6" t="s">
        <v>120</v>
      </c>
      <c r="Q33" s="6" t="s">
        <v>108</v>
      </c>
      <c r="R33" s="160"/>
      <c r="S33" s="162">
        <v>25848.560000000001</v>
      </c>
      <c r="T33" s="107">
        <v>0</v>
      </c>
      <c r="U33" s="6">
        <v>1</v>
      </c>
      <c r="V33" s="6">
        <v>25</v>
      </c>
      <c r="W33" s="160">
        <v>2</v>
      </c>
      <c r="X33" s="163">
        <v>44110000</v>
      </c>
      <c r="Y33" s="160" t="s">
        <v>109</v>
      </c>
      <c r="Z33" s="6">
        <v>25848.560000000001</v>
      </c>
      <c r="AA33" s="6">
        <v>0</v>
      </c>
      <c r="AB33" s="6">
        <v>0</v>
      </c>
      <c r="AC33" s="6">
        <v>0</v>
      </c>
      <c r="AD33" s="6"/>
      <c r="AE33" s="6"/>
      <c r="AF33" s="6"/>
      <c r="AG33" s="6"/>
      <c r="AH33" s="6"/>
      <c r="AI33" s="6"/>
      <c r="AJ33" s="6"/>
      <c r="AK33" s="7"/>
      <c r="AL33" s="6">
        <v>102627</v>
      </c>
      <c r="AM33" s="6" t="s">
        <v>128</v>
      </c>
    </row>
    <row r="34" spans="2:39" x14ac:dyDescent="0.2">
      <c r="B34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4" s="158" t="str">
        <f>+CONCATENATE(ZEUFI037[[#This Row],[Type]],"-",ZEUFI037[[#This Row],[G/L Account]])</f>
        <v>ZV-34880000</v>
      </c>
      <c r="D34" s="159" t="str">
        <f>+CONCATENATE(ZEUFI037[[#This Row],[Type]],"-",ZEUFI037[[#This Row],[TCode]],"-",ZEUFI037[[#This Row],[CoCd]],"-",ZEUFI037[[#This Row],[DocumentNo]])</f>
        <v>ZV-FB05-AT01-2000002972</v>
      </c>
      <c r="E34" s="6" t="s">
        <v>101</v>
      </c>
      <c r="F34" s="6" t="s">
        <v>102</v>
      </c>
      <c r="G34" s="6" t="s">
        <v>103</v>
      </c>
      <c r="H34" s="6" t="s">
        <v>104</v>
      </c>
      <c r="I34" s="6" t="s">
        <v>105</v>
      </c>
      <c r="J34" s="6" t="s">
        <v>106</v>
      </c>
      <c r="K34" s="6" t="s">
        <v>107</v>
      </c>
      <c r="L34" s="6">
        <v>2000002972</v>
      </c>
      <c r="M34" s="121">
        <v>45708</v>
      </c>
      <c r="N34" s="121">
        <v>45708</v>
      </c>
      <c r="O34" s="121">
        <v>45708</v>
      </c>
      <c r="P34" s="6" t="s">
        <v>120</v>
      </c>
      <c r="Q34" s="6" t="s">
        <v>108</v>
      </c>
      <c r="R34" s="160"/>
      <c r="S34" s="162">
        <v>25848.560000000001</v>
      </c>
      <c r="T34" s="107">
        <v>0</v>
      </c>
      <c r="U34" s="6">
        <v>2</v>
      </c>
      <c r="V34" s="6">
        <v>18</v>
      </c>
      <c r="W34" s="160">
        <v>1</v>
      </c>
      <c r="X34" s="163">
        <v>34880000</v>
      </c>
      <c r="Y34" s="160" t="s">
        <v>111</v>
      </c>
      <c r="Z34" s="6">
        <v>0</v>
      </c>
      <c r="AA34" s="6">
        <v>0</v>
      </c>
      <c r="AB34" s="6">
        <v>25848.560000000001</v>
      </c>
      <c r="AC34" s="6">
        <v>0</v>
      </c>
      <c r="AD34" s="6" t="s">
        <v>108</v>
      </c>
      <c r="AE34" s="6"/>
      <c r="AF34" s="6"/>
      <c r="AG34" s="6"/>
      <c r="AH34" s="6"/>
      <c r="AI34" s="6"/>
      <c r="AJ34" s="6"/>
      <c r="AK34" s="7"/>
      <c r="AL34" s="6">
        <v>105139</v>
      </c>
      <c r="AM34" s="6" t="s">
        <v>128</v>
      </c>
    </row>
    <row r="35" spans="2:39" x14ac:dyDescent="0.2">
      <c r="B35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5" s="158" t="str">
        <f>+CONCATENATE(ZEUFI037[[#This Row],[Type]],"-",ZEUFI037[[#This Row],[G/L Account]])</f>
        <v>ZV-34880000</v>
      </c>
      <c r="D35" s="159" t="str">
        <f>+CONCATENATE(ZEUFI037[[#This Row],[Type]],"-",ZEUFI037[[#This Row],[TCode]],"-",ZEUFI037[[#This Row],[CoCd]],"-",ZEUFI037[[#This Row],[DocumentNo]])</f>
        <v>ZV-FB05-AT01-2000002973</v>
      </c>
      <c r="E35" s="6" t="s">
        <v>101</v>
      </c>
      <c r="F35" s="6" t="s">
        <v>102</v>
      </c>
      <c r="G35" s="6" t="s">
        <v>103</v>
      </c>
      <c r="H35" s="6" t="s">
        <v>104</v>
      </c>
      <c r="I35" s="6" t="s">
        <v>105</v>
      </c>
      <c r="J35" s="6" t="s">
        <v>106</v>
      </c>
      <c r="K35" s="6" t="s">
        <v>107</v>
      </c>
      <c r="L35" s="6">
        <v>2000002973</v>
      </c>
      <c r="M35" s="121">
        <v>45708</v>
      </c>
      <c r="N35" s="121">
        <v>45708</v>
      </c>
      <c r="O35" s="121">
        <v>45708</v>
      </c>
      <c r="P35" s="6" t="s">
        <v>120</v>
      </c>
      <c r="Q35" s="6" t="s">
        <v>108</v>
      </c>
      <c r="R35" s="160"/>
      <c r="S35" s="162">
        <v>55730.02</v>
      </c>
      <c r="T35" s="107">
        <v>0</v>
      </c>
      <c r="U35" s="6">
        <v>2</v>
      </c>
      <c r="V35" s="6">
        <v>18</v>
      </c>
      <c r="W35" s="160">
        <v>1</v>
      </c>
      <c r="X35" s="163">
        <v>34880000</v>
      </c>
      <c r="Y35" s="160" t="s">
        <v>111</v>
      </c>
      <c r="Z35" s="6">
        <v>0</v>
      </c>
      <c r="AA35" s="6">
        <v>0</v>
      </c>
      <c r="AB35" s="6">
        <v>55730.02</v>
      </c>
      <c r="AC35" s="6">
        <v>0</v>
      </c>
      <c r="AD35" s="6" t="s">
        <v>108</v>
      </c>
      <c r="AE35" s="6"/>
      <c r="AF35" s="6"/>
      <c r="AG35" s="6"/>
      <c r="AH35" s="6"/>
      <c r="AI35" s="6"/>
      <c r="AJ35" s="6"/>
      <c r="AK35" s="7"/>
      <c r="AL35" s="6">
        <v>104367</v>
      </c>
      <c r="AM35" s="6" t="s">
        <v>129</v>
      </c>
    </row>
    <row r="36" spans="2:39" x14ac:dyDescent="0.2">
      <c r="B36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6" s="158" t="str">
        <f>+CONCATENATE(ZEUFI037[[#This Row],[Type]],"-",ZEUFI037[[#This Row],[G/L Account]])</f>
        <v>ZV-44110000</v>
      </c>
      <c r="D36" s="159" t="str">
        <f>+CONCATENATE(ZEUFI037[[#This Row],[Type]],"-",ZEUFI037[[#This Row],[TCode]],"-",ZEUFI037[[#This Row],[CoCd]],"-",ZEUFI037[[#This Row],[DocumentNo]])</f>
        <v>ZV-FB05-AT01-2000002973</v>
      </c>
      <c r="E36" s="6" t="s">
        <v>101</v>
      </c>
      <c r="F36" s="6" t="s">
        <v>102</v>
      </c>
      <c r="G36" s="6" t="s">
        <v>103</v>
      </c>
      <c r="H36" s="6" t="s">
        <v>104</v>
      </c>
      <c r="I36" s="6" t="s">
        <v>105</v>
      </c>
      <c r="J36" s="6" t="s">
        <v>106</v>
      </c>
      <c r="K36" s="6" t="s">
        <v>107</v>
      </c>
      <c r="L36" s="6">
        <v>2000002973</v>
      </c>
      <c r="M36" s="121">
        <v>45708</v>
      </c>
      <c r="N36" s="121">
        <v>45708</v>
      </c>
      <c r="O36" s="121">
        <v>45708</v>
      </c>
      <c r="P36" s="6" t="s">
        <v>120</v>
      </c>
      <c r="Q36" s="6" t="s">
        <v>108</v>
      </c>
      <c r="R36" s="160"/>
      <c r="S36" s="162">
        <v>55730.02</v>
      </c>
      <c r="T36" s="107">
        <v>0</v>
      </c>
      <c r="U36" s="6">
        <v>1</v>
      </c>
      <c r="V36" s="6">
        <v>25</v>
      </c>
      <c r="W36" s="160">
        <v>2</v>
      </c>
      <c r="X36" s="163">
        <v>44110000</v>
      </c>
      <c r="Y36" s="160" t="s">
        <v>109</v>
      </c>
      <c r="Z36" s="6">
        <v>55730.02</v>
      </c>
      <c r="AA36" s="6">
        <v>0</v>
      </c>
      <c r="AB36" s="6">
        <v>0</v>
      </c>
      <c r="AC36" s="6">
        <v>0</v>
      </c>
      <c r="AD36" s="6"/>
      <c r="AE36" s="6"/>
      <c r="AF36" s="6"/>
      <c r="AG36" s="6"/>
      <c r="AH36" s="6"/>
      <c r="AI36" s="6"/>
      <c r="AJ36" s="6"/>
      <c r="AK36" s="7"/>
      <c r="AL36" s="6">
        <v>102223</v>
      </c>
      <c r="AM36" s="6" t="s">
        <v>130</v>
      </c>
    </row>
    <row r="37" spans="2:39" x14ac:dyDescent="0.2">
      <c r="B3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7" s="158" t="str">
        <f>+CONCATENATE(ZEUFI037[[#This Row],[Type]],"-",ZEUFI037[[#This Row],[G/L Account]])</f>
        <v>ZV-34880000</v>
      </c>
      <c r="D37" s="159" t="str">
        <f>+CONCATENATE(ZEUFI037[[#This Row],[Type]],"-",ZEUFI037[[#This Row],[TCode]],"-",ZEUFI037[[#This Row],[CoCd]],"-",ZEUFI037[[#This Row],[DocumentNo]])</f>
        <v>ZV-FB05-AT01-2000003089</v>
      </c>
      <c r="E37" s="6" t="s">
        <v>101</v>
      </c>
      <c r="F37" s="6" t="s">
        <v>102</v>
      </c>
      <c r="G37" s="6" t="s">
        <v>103</v>
      </c>
      <c r="H37" s="6" t="s">
        <v>104</v>
      </c>
      <c r="I37" s="6" t="s">
        <v>105</v>
      </c>
      <c r="J37" s="6" t="s">
        <v>106</v>
      </c>
      <c r="K37" s="6" t="s">
        <v>107</v>
      </c>
      <c r="L37" s="6">
        <v>2000003089</v>
      </c>
      <c r="M37" s="121">
        <v>45712</v>
      </c>
      <c r="N37" s="121">
        <v>45712</v>
      </c>
      <c r="O37" s="121">
        <v>45712</v>
      </c>
      <c r="P37" s="6" t="s">
        <v>108</v>
      </c>
      <c r="Q37" s="6" t="s">
        <v>108</v>
      </c>
      <c r="R37" s="160"/>
      <c r="S37" s="162">
        <v>28349.41</v>
      </c>
      <c r="T37" s="107">
        <v>0</v>
      </c>
      <c r="U37" s="6">
        <v>2</v>
      </c>
      <c r="V37" s="6">
        <v>18</v>
      </c>
      <c r="W37" s="160">
        <v>1</v>
      </c>
      <c r="X37" s="163">
        <v>34880000</v>
      </c>
      <c r="Y37" s="160" t="s">
        <v>111</v>
      </c>
      <c r="Z37" s="6">
        <v>0</v>
      </c>
      <c r="AA37" s="6">
        <v>0</v>
      </c>
      <c r="AB37" s="6">
        <v>28349.41</v>
      </c>
      <c r="AC37" s="6">
        <v>0</v>
      </c>
      <c r="AD37" s="6" t="s">
        <v>108</v>
      </c>
      <c r="AE37" s="6"/>
      <c r="AF37" s="6"/>
      <c r="AG37" s="6"/>
      <c r="AH37" s="6"/>
      <c r="AI37" s="6"/>
      <c r="AJ37" s="6"/>
      <c r="AK37" s="7"/>
      <c r="AL37" s="6">
        <v>103360</v>
      </c>
      <c r="AM37" s="6" t="s">
        <v>131</v>
      </c>
    </row>
    <row r="38" spans="2:39" x14ac:dyDescent="0.2">
      <c r="B3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8" s="158" t="str">
        <f>+CONCATENATE(ZEUFI037[[#This Row],[Type]],"-",ZEUFI037[[#This Row],[G/L Account]])</f>
        <v>ZV-44110000</v>
      </c>
      <c r="D38" s="159" t="str">
        <f>+CONCATENATE(ZEUFI037[[#This Row],[Type]],"-",ZEUFI037[[#This Row],[TCode]],"-",ZEUFI037[[#This Row],[CoCd]],"-",ZEUFI037[[#This Row],[DocumentNo]])</f>
        <v>ZV-FB05-AT01-2000003089</v>
      </c>
      <c r="E38" s="6" t="s">
        <v>101</v>
      </c>
      <c r="F38" s="6" t="s">
        <v>102</v>
      </c>
      <c r="G38" s="6" t="s">
        <v>103</v>
      </c>
      <c r="H38" s="6" t="s">
        <v>104</v>
      </c>
      <c r="I38" s="6" t="s">
        <v>105</v>
      </c>
      <c r="J38" s="6" t="s">
        <v>106</v>
      </c>
      <c r="K38" s="6" t="s">
        <v>107</v>
      </c>
      <c r="L38" s="6">
        <v>2000003089</v>
      </c>
      <c r="M38" s="121">
        <v>45712</v>
      </c>
      <c r="N38" s="121">
        <v>45712</v>
      </c>
      <c r="O38" s="121">
        <v>45712</v>
      </c>
      <c r="P38" s="6" t="s">
        <v>108</v>
      </c>
      <c r="Q38" s="6" t="s">
        <v>108</v>
      </c>
      <c r="R38" s="160"/>
      <c r="S38" s="162">
        <v>28349.41</v>
      </c>
      <c r="T38" s="107">
        <v>0</v>
      </c>
      <c r="U38" s="6">
        <v>1</v>
      </c>
      <c r="V38" s="6">
        <v>25</v>
      </c>
      <c r="W38" s="160">
        <v>2</v>
      </c>
      <c r="X38" s="163">
        <v>44110000</v>
      </c>
      <c r="Y38" s="160" t="s">
        <v>109</v>
      </c>
      <c r="Z38" s="6">
        <v>28349.41</v>
      </c>
      <c r="AA38" s="6">
        <v>0</v>
      </c>
      <c r="AB38" s="6">
        <v>0</v>
      </c>
      <c r="AC38" s="6">
        <v>0</v>
      </c>
      <c r="AD38" s="6"/>
      <c r="AE38" s="6"/>
      <c r="AF38" s="6"/>
      <c r="AG38" s="6"/>
      <c r="AH38" s="6"/>
      <c r="AI38" s="6"/>
      <c r="AJ38" s="6"/>
      <c r="AK38" s="7"/>
      <c r="AL38" s="6">
        <v>101785</v>
      </c>
      <c r="AM38" s="6" t="s">
        <v>132</v>
      </c>
    </row>
    <row r="39" spans="2:39" x14ac:dyDescent="0.2">
      <c r="B3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9" s="158" t="str">
        <f>+CONCATENATE(ZEUFI037[[#This Row],[Type]],"-",ZEUFI037[[#This Row],[G/L Account]])</f>
        <v>ZV-44110000</v>
      </c>
      <c r="D39" s="159" t="str">
        <f>+CONCATENATE(ZEUFI037[[#This Row],[Type]],"-",ZEUFI037[[#This Row],[TCode]],"-",ZEUFI037[[#This Row],[CoCd]],"-",ZEUFI037[[#This Row],[DocumentNo]])</f>
        <v>ZV-FB05-AT01-2000003090</v>
      </c>
      <c r="E39" s="6" t="s">
        <v>101</v>
      </c>
      <c r="F39" s="6" t="s">
        <v>102</v>
      </c>
      <c r="G39" s="6" t="s">
        <v>103</v>
      </c>
      <c r="H39" s="6" t="s">
        <v>104</v>
      </c>
      <c r="I39" s="6" t="s">
        <v>105</v>
      </c>
      <c r="J39" s="6" t="s">
        <v>106</v>
      </c>
      <c r="K39" s="6" t="s">
        <v>107</v>
      </c>
      <c r="L39" s="6">
        <v>2000003090</v>
      </c>
      <c r="M39" s="121">
        <v>45712</v>
      </c>
      <c r="N39" s="121">
        <v>45712</v>
      </c>
      <c r="O39" s="121">
        <v>45712</v>
      </c>
      <c r="P39" s="6" t="s">
        <v>108</v>
      </c>
      <c r="Q39" s="6" t="s">
        <v>108</v>
      </c>
      <c r="R39" s="160"/>
      <c r="S39" s="162">
        <v>34268.519999999997</v>
      </c>
      <c r="T39" s="107">
        <v>0</v>
      </c>
      <c r="U39" s="6">
        <v>1</v>
      </c>
      <c r="V39" s="6">
        <v>25</v>
      </c>
      <c r="W39" s="160">
        <v>2</v>
      </c>
      <c r="X39" s="163">
        <v>44110000</v>
      </c>
      <c r="Y39" s="160" t="s">
        <v>109</v>
      </c>
      <c r="Z39" s="6">
        <v>34268.519999999997</v>
      </c>
      <c r="AA39" s="6">
        <v>0</v>
      </c>
      <c r="AB39" s="6">
        <v>0</v>
      </c>
      <c r="AC39" s="6">
        <v>0</v>
      </c>
      <c r="AD39" s="6"/>
      <c r="AE39" s="6"/>
      <c r="AF39" s="6"/>
      <c r="AG39" s="6"/>
      <c r="AH39" s="6"/>
      <c r="AI39" s="6"/>
      <c r="AJ39" s="6"/>
      <c r="AK39" s="7"/>
      <c r="AL39" s="6">
        <v>102498</v>
      </c>
      <c r="AM39" s="6" t="s">
        <v>112</v>
      </c>
    </row>
    <row r="40" spans="2:39" x14ac:dyDescent="0.2">
      <c r="B4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0" s="158" t="str">
        <f>+CONCATENATE(ZEUFI037[[#This Row],[Type]],"-",ZEUFI037[[#This Row],[G/L Account]])</f>
        <v>ZV-34880000</v>
      </c>
      <c r="D40" s="159" t="str">
        <f>+CONCATENATE(ZEUFI037[[#This Row],[Type]],"-",ZEUFI037[[#This Row],[TCode]],"-",ZEUFI037[[#This Row],[CoCd]],"-",ZEUFI037[[#This Row],[DocumentNo]])</f>
        <v>ZV-FB05-AT01-2000003090</v>
      </c>
      <c r="E40" s="6" t="s">
        <v>101</v>
      </c>
      <c r="F40" s="6" t="s">
        <v>102</v>
      </c>
      <c r="G40" s="6" t="s">
        <v>103</v>
      </c>
      <c r="H40" s="6" t="s">
        <v>104</v>
      </c>
      <c r="I40" s="6" t="s">
        <v>105</v>
      </c>
      <c r="J40" s="6" t="s">
        <v>106</v>
      </c>
      <c r="K40" s="6" t="s">
        <v>107</v>
      </c>
      <c r="L40" s="6">
        <v>2000003090</v>
      </c>
      <c r="M40" s="121">
        <v>45712</v>
      </c>
      <c r="N40" s="121">
        <v>45712</v>
      </c>
      <c r="O40" s="121">
        <v>45712</v>
      </c>
      <c r="P40" s="6" t="s">
        <v>108</v>
      </c>
      <c r="Q40" s="6" t="s">
        <v>108</v>
      </c>
      <c r="R40" s="160"/>
      <c r="S40" s="162">
        <v>34268.519999999997</v>
      </c>
      <c r="T40" s="107">
        <v>0</v>
      </c>
      <c r="U40" s="6">
        <v>2</v>
      </c>
      <c r="V40" s="6">
        <v>18</v>
      </c>
      <c r="W40" s="160">
        <v>1</v>
      </c>
      <c r="X40" s="163">
        <v>34880000</v>
      </c>
      <c r="Y40" s="160" t="s">
        <v>111</v>
      </c>
      <c r="Z40" s="6">
        <v>0</v>
      </c>
      <c r="AA40" s="6">
        <v>0</v>
      </c>
      <c r="AB40" s="6">
        <v>34268.519999999997</v>
      </c>
      <c r="AC40" s="6">
        <v>0</v>
      </c>
      <c r="AD40" s="6" t="s">
        <v>108</v>
      </c>
      <c r="AE40" s="6"/>
      <c r="AF40" s="6"/>
      <c r="AG40" s="6"/>
      <c r="AH40" s="6"/>
      <c r="AI40" s="6"/>
      <c r="AJ40" s="6"/>
      <c r="AK40" s="7"/>
      <c r="AL40" s="6">
        <v>104900</v>
      </c>
      <c r="AM40" s="6" t="s">
        <v>112</v>
      </c>
    </row>
    <row r="41" spans="2:39" x14ac:dyDescent="0.2">
      <c r="B4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1" s="158" t="str">
        <f>+CONCATENATE(ZEUFI037[[#This Row],[Type]],"-",ZEUFI037[[#This Row],[G/L Account]])</f>
        <v>ZV-44110000</v>
      </c>
      <c r="D41" s="159" t="str">
        <f>+CONCATENATE(ZEUFI037[[#This Row],[Type]],"-",ZEUFI037[[#This Row],[TCode]],"-",ZEUFI037[[#This Row],[CoCd]],"-",ZEUFI037[[#This Row],[DocumentNo]])</f>
        <v>ZV-FB05-AT01-2000003091</v>
      </c>
      <c r="E41" s="6" t="s">
        <v>101</v>
      </c>
      <c r="F41" s="6" t="s">
        <v>102</v>
      </c>
      <c r="G41" s="6" t="s">
        <v>103</v>
      </c>
      <c r="H41" s="6" t="s">
        <v>104</v>
      </c>
      <c r="I41" s="6" t="s">
        <v>105</v>
      </c>
      <c r="J41" s="6" t="s">
        <v>106</v>
      </c>
      <c r="K41" s="6" t="s">
        <v>107</v>
      </c>
      <c r="L41" s="6">
        <v>2000003091</v>
      </c>
      <c r="M41" s="121">
        <v>45712</v>
      </c>
      <c r="N41" s="121">
        <v>45712</v>
      </c>
      <c r="O41" s="121">
        <v>45712</v>
      </c>
      <c r="P41" s="6" t="s">
        <v>108</v>
      </c>
      <c r="Q41" s="6" t="s">
        <v>108</v>
      </c>
      <c r="R41" s="160"/>
      <c r="S41" s="162">
        <v>23975.7</v>
      </c>
      <c r="T41" s="107">
        <v>0</v>
      </c>
      <c r="U41" s="6">
        <v>1</v>
      </c>
      <c r="V41" s="6">
        <v>25</v>
      </c>
      <c r="W41" s="160">
        <v>2</v>
      </c>
      <c r="X41" s="163">
        <v>44110000</v>
      </c>
      <c r="Y41" s="160" t="s">
        <v>109</v>
      </c>
      <c r="Z41" s="6">
        <v>23975.7</v>
      </c>
      <c r="AA41" s="6">
        <v>0</v>
      </c>
      <c r="AB41" s="6">
        <v>0</v>
      </c>
      <c r="AC41" s="6">
        <v>0</v>
      </c>
      <c r="AD41" s="6"/>
      <c r="AE41" s="6"/>
      <c r="AF41" s="6"/>
      <c r="AG41" s="6"/>
      <c r="AH41" s="6"/>
      <c r="AI41" s="6"/>
      <c r="AJ41" s="6"/>
      <c r="AK41" s="7"/>
      <c r="AL41" s="6">
        <v>102450</v>
      </c>
      <c r="AM41" s="6" t="s">
        <v>133</v>
      </c>
    </row>
    <row r="42" spans="2:39" x14ac:dyDescent="0.2">
      <c r="B42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2" s="158" t="str">
        <f>+CONCATENATE(ZEUFI037[[#This Row],[Type]],"-",ZEUFI037[[#This Row],[G/L Account]])</f>
        <v>ZV-34880000</v>
      </c>
      <c r="D42" s="159" t="str">
        <f>+CONCATENATE(ZEUFI037[[#This Row],[Type]],"-",ZEUFI037[[#This Row],[TCode]],"-",ZEUFI037[[#This Row],[CoCd]],"-",ZEUFI037[[#This Row],[DocumentNo]])</f>
        <v>ZV-FB05-AT01-2000003091</v>
      </c>
      <c r="E42" s="6" t="s">
        <v>101</v>
      </c>
      <c r="F42" s="6" t="s">
        <v>102</v>
      </c>
      <c r="G42" s="6" t="s">
        <v>103</v>
      </c>
      <c r="H42" s="6" t="s">
        <v>104</v>
      </c>
      <c r="I42" s="6" t="s">
        <v>105</v>
      </c>
      <c r="J42" s="6" t="s">
        <v>106</v>
      </c>
      <c r="K42" s="6" t="s">
        <v>107</v>
      </c>
      <c r="L42" s="6">
        <v>2000003091</v>
      </c>
      <c r="M42" s="121">
        <v>45712</v>
      </c>
      <c r="N42" s="121">
        <v>45712</v>
      </c>
      <c r="O42" s="121">
        <v>45712</v>
      </c>
      <c r="P42" s="6" t="s">
        <v>108</v>
      </c>
      <c r="Q42" s="6" t="s">
        <v>108</v>
      </c>
      <c r="R42" s="160"/>
      <c r="S42" s="162">
        <v>23975.7</v>
      </c>
      <c r="T42" s="107">
        <v>0</v>
      </c>
      <c r="U42" s="6">
        <v>2</v>
      </c>
      <c r="V42" s="6">
        <v>18</v>
      </c>
      <c r="W42" s="160">
        <v>1</v>
      </c>
      <c r="X42" s="163">
        <v>34880000</v>
      </c>
      <c r="Y42" s="160" t="s">
        <v>111</v>
      </c>
      <c r="Z42" s="6">
        <v>0</v>
      </c>
      <c r="AA42" s="6">
        <v>0</v>
      </c>
      <c r="AB42" s="6">
        <v>23975.7</v>
      </c>
      <c r="AC42" s="6">
        <v>0</v>
      </c>
      <c r="AD42" s="6" t="s">
        <v>108</v>
      </c>
      <c r="AE42" s="6"/>
      <c r="AF42" s="6"/>
      <c r="AG42" s="6"/>
      <c r="AH42" s="6"/>
      <c r="AI42" s="6"/>
      <c r="AJ42" s="6"/>
      <c r="AK42" s="7"/>
      <c r="AL42" s="6">
        <v>104804</v>
      </c>
      <c r="AM42" s="6" t="s">
        <v>133</v>
      </c>
    </row>
    <row r="43" spans="2:39" x14ac:dyDescent="0.2">
      <c r="B43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3" s="158" t="str">
        <f>+CONCATENATE(ZEUFI037[[#This Row],[Type]],"-",ZEUFI037[[#This Row],[G/L Account]])</f>
        <v>ZV-44110000</v>
      </c>
      <c r="D43" s="159" t="str">
        <f>+CONCATENATE(ZEUFI037[[#This Row],[Type]],"-",ZEUFI037[[#This Row],[TCode]],"-",ZEUFI037[[#This Row],[CoCd]],"-",ZEUFI037[[#This Row],[DocumentNo]])</f>
        <v>ZV-FB05-AT01-2000003092</v>
      </c>
      <c r="E43" s="6" t="s">
        <v>101</v>
      </c>
      <c r="F43" s="6" t="s">
        <v>102</v>
      </c>
      <c r="G43" s="6" t="s">
        <v>103</v>
      </c>
      <c r="H43" s="6" t="s">
        <v>104</v>
      </c>
      <c r="I43" s="6" t="s">
        <v>105</v>
      </c>
      <c r="J43" s="6" t="s">
        <v>106</v>
      </c>
      <c r="K43" s="6" t="s">
        <v>107</v>
      </c>
      <c r="L43" s="6">
        <v>2000003092</v>
      </c>
      <c r="M43" s="121">
        <v>45712</v>
      </c>
      <c r="N43" s="121">
        <v>45712</v>
      </c>
      <c r="O43" s="121">
        <v>45712</v>
      </c>
      <c r="P43" s="6" t="s">
        <v>108</v>
      </c>
      <c r="Q43" s="6" t="s">
        <v>108</v>
      </c>
      <c r="R43" s="160"/>
      <c r="S43" s="162">
        <v>22617.119999999999</v>
      </c>
      <c r="T43" s="107">
        <v>0</v>
      </c>
      <c r="U43" s="6">
        <v>1</v>
      </c>
      <c r="V43" s="6">
        <v>25</v>
      </c>
      <c r="W43" s="160">
        <v>2</v>
      </c>
      <c r="X43" s="163">
        <v>44110000</v>
      </c>
      <c r="Y43" s="160" t="s">
        <v>109</v>
      </c>
      <c r="Z43" s="6">
        <v>22617.119999999999</v>
      </c>
      <c r="AA43" s="6">
        <v>0</v>
      </c>
      <c r="AB43" s="6">
        <v>0</v>
      </c>
      <c r="AC43" s="6">
        <v>0</v>
      </c>
      <c r="AD43" s="6"/>
      <c r="AE43" s="6"/>
      <c r="AF43" s="6"/>
      <c r="AG43" s="6"/>
      <c r="AH43" s="6"/>
      <c r="AI43" s="6"/>
      <c r="AJ43" s="6"/>
      <c r="AK43" s="7"/>
      <c r="AL43" s="6">
        <v>102450</v>
      </c>
      <c r="AM43" s="6" t="s">
        <v>133</v>
      </c>
    </row>
    <row r="44" spans="2:39" x14ac:dyDescent="0.2">
      <c r="B44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4" s="158" t="str">
        <f>+CONCATENATE(ZEUFI037[[#This Row],[Type]],"-",ZEUFI037[[#This Row],[G/L Account]])</f>
        <v>ZV-34880000</v>
      </c>
      <c r="D44" s="159" t="str">
        <f>+CONCATENATE(ZEUFI037[[#This Row],[Type]],"-",ZEUFI037[[#This Row],[TCode]],"-",ZEUFI037[[#This Row],[CoCd]],"-",ZEUFI037[[#This Row],[DocumentNo]])</f>
        <v>ZV-FB05-AT01-2000003092</v>
      </c>
      <c r="E44" s="6" t="s">
        <v>101</v>
      </c>
      <c r="F44" s="6" t="s">
        <v>102</v>
      </c>
      <c r="G44" s="6" t="s">
        <v>103</v>
      </c>
      <c r="H44" s="6" t="s">
        <v>104</v>
      </c>
      <c r="I44" s="6" t="s">
        <v>105</v>
      </c>
      <c r="J44" s="6" t="s">
        <v>106</v>
      </c>
      <c r="K44" s="6" t="s">
        <v>107</v>
      </c>
      <c r="L44" s="6">
        <v>2000003092</v>
      </c>
      <c r="M44" s="121">
        <v>45712</v>
      </c>
      <c r="N44" s="121">
        <v>45712</v>
      </c>
      <c r="O44" s="121">
        <v>45712</v>
      </c>
      <c r="P44" s="6" t="s">
        <v>108</v>
      </c>
      <c r="Q44" s="6" t="s">
        <v>108</v>
      </c>
      <c r="R44" s="160"/>
      <c r="S44" s="162">
        <v>22617.119999999999</v>
      </c>
      <c r="T44" s="107">
        <v>0</v>
      </c>
      <c r="U44" s="6">
        <v>2</v>
      </c>
      <c r="V44" s="6">
        <v>18</v>
      </c>
      <c r="W44" s="160">
        <v>1</v>
      </c>
      <c r="X44" s="163">
        <v>34880000</v>
      </c>
      <c r="Y44" s="160" t="s">
        <v>111</v>
      </c>
      <c r="Z44" s="6">
        <v>0</v>
      </c>
      <c r="AA44" s="6">
        <v>0</v>
      </c>
      <c r="AB44" s="6">
        <v>22617.119999999999</v>
      </c>
      <c r="AC44" s="6">
        <v>0</v>
      </c>
      <c r="AD44" s="6" t="s">
        <v>108</v>
      </c>
      <c r="AE44" s="6"/>
      <c r="AF44" s="6"/>
      <c r="AG44" s="6"/>
      <c r="AH44" s="6"/>
      <c r="AI44" s="6"/>
      <c r="AJ44" s="6"/>
      <c r="AK44" s="7"/>
      <c r="AL44" s="6">
        <v>104804</v>
      </c>
      <c r="AM44" s="6" t="s">
        <v>133</v>
      </c>
    </row>
    <row r="45" spans="2:39" x14ac:dyDescent="0.2">
      <c r="B45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5" s="158" t="str">
        <f>+CONCATENATE(ZEUFI037[[#This Row],[Type]],"-",ZEUFI037[[#This Row],[G/L Account]])</f>
        <v>ZV-44110000</v>
      </c>
      <c r="D45" s="159" t="str">
        <f>+CONCATENATE(ZEUFI037[[#This Row],[Type]],"-",ZEUFI037[[#This Row],[TCode]],"-",ZEUFI037[[#This Row],[CoCd]],"-",ZEUFI037[[#This Row],[DocumentNo]])</f>
        <v>ZV-FB05-AT01-2000003093</v>
      </c>
      <c r="E45" s="6" t="s">
        <v>101</v>
      </c>
      <c r="F45" s="6" t="s">
        <v>102</v>
      </c>
      <c r="G45" s="6" t="s">
        <v>103</v>
      </c>
      <c r="H45" s="6" t="s">
        <v>104</v>
      </c>
      <c r="I45" s="6" t="s">
        <v>105</v>
      </c>
      <c r="J45" s="6" t="s">
        <v>106</v>
      </c>
      <c r="K45" s="6" t="s">
        <v>107</v>
      </c>
      <c r="L45" s="6">
        <v>2000003093</v>
      </c>
      <c r="M45" s="121">
        <v>45712</v>
      </c>
      <c r="N45" s="121">
        <v>45712</v>
      </c>
      <c r="O45" s="121">
        <v>45712</v>
      </c>
      <c r="P45" s="6" t="s">
        <v>108</v>
      </c>
      <c r="Q45" s="6" t="s">
        <v>108</v>
      </c>
      <c r="R45" s="160"/>
      <c r="S45" s="162">
        <v>24090.400000000001</v>
      </c>
      <c r="T45" s="107">
        <v>0</v>
      </c>
      <c r="U45" s="6">
        <v>1</v>
      </c>
      <c r="V45" s="6">
        <v>25</v>
      </c>
      <c r="W45" s="160">
        <v>2</v>
      </c>
      <c r="X45" s="163">
        <v>44110000</v>
      </c>
      <c r="Y45" s="160" t="s">
        <v>109</v>
      </c>
      <c r="Z45" s="6">
        <v>24090.400000000001</v>
      </c>
      <c r="AA45" s="6">
        <v>0</v>
      </c>
      <c r="AB45" s="6">
        <v>0</v>
      </c>
      <c r="AC45" s="6">
        <v>0</v>
      </c>
      <c r="AD45" s="6"/>
      <c r="AE45" s="6"/>
      <c r="AF45" s="6"/>
      <c r="AG45" s="6"/>
      <c r="AH45" s="6"/>
      <c r="AI45" s="6"/>
      <c r="AJ45" s="6"/>
      <c r="AK45" s="7"/>
      <c r="AL45" s="6">
        <v>101421</v>
      </c>
      <c r="AM45" s="6" t="s">
        <v>134</v>
      </c>
    </row>
    <row r="46" spans="2:39" x14ac:dyDescent="0.2">
      <c r="B46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6" s="158" t="str">
        <f>+CONCATENATE(ZEUFI037[[#This Row],[Type]],"-",ZEUFI037[[#This Row],[G/L Account]])</f>
        <v>ZV-34880000</v>
      </c>
      <c r="D46" s="159" t="str">
        <f>+CONCATENATE(ZEUFI037[[#This Row],[Type]],"-",ZEUFI037[[#This Row],[TCode]],"-",ZEUFI037[[#This Row],[CoCd]],"-",ZEUFI037[[#This Row],[DocumentNo]])</f>
        <v>ZV-FB05-AT01-2000003093</v>
      </c>
      <c r="E46" s="6" t="s">
        <v>101</v>
      </c>
      <c r="F46" s="6" t="s">
        <v>102</v>
      </c>
      <c r="G46" s="6" t="s">
        <v>103</v>
      </c>
      <c r="H46" s="6" t="s">
        <v>104</v>
      </c>
      <c r="I46" s="6" t="s">
        <v>105</v>
      </c>
      <c r="J46" s="6" t="s">
        <v>106</v>
      </c>
      <c r="K46" s="6" t="s">
        <v>107</v>
      </c>
      <c r="L46" s="6">
        <v>2000003093</v>
      </c>
      <c r="M46" s="121">
        <v>45712</v>
      </c>
      <c r="N46" s="121">
        <v>45712</v>
      </c>
      <c r="O46" s="121">
        <v>45712</v>
      </c>
      <c r="P46" s="6" t="s">
        <v>108</v>
      </c>
      <c r="Q46" s="6" t="s">
        <v>108</v>
      </c>
      <c r="R46" s="160"/>
      <c r="S46" s="162">
        <v>24090.400000000001</v>
      </c>
      <c r="T46" s="107">
        <v>0</v>
      </c>
      <c r="U46" s="6">
        <v>2</v>
      </c>
      <c r="V46" s="6">
        <v>18</v>
      </c>
      <c r="W46" s="160">
        <v>1</v>
      </c>
      <c r="X46" s="163">
        <v>34880000</v>
      </c>
      <c r="Y46" s="160" t="s">
        <v>111</v>
      </c>
      <c r="Z46" s="6">
        <v>0</v>
      </c>
      <c r="AA46" s="6">
        <v>0</v>
      </c>
      <c r="AB46" s="6">
        <v>24090.400000000001</v>
      </c>
      <c r="AC46" s="6">
        <v>0</v>
      </c>
      <c r="AD46" s="6" t="s">
        <v>108</v>
      </c>
      <c r="AE46" s="6"/>
      <c r="AF46" s="6"/>
      <c r="AG46" s="6"/>
      <c r="AH46" s="6"/>
      <c r="AI46" s="6"/>
      <c r="AJ46" s="6"/>
      <c r="AK46" s="7"/>
      <c r="AL46" s="6">
        <v>102645</v>
      </c>
      <c r="AM46" s="6" t="s">
        <v>134</v>
      </c>
    </row>
    <row r="47" spans="2:39" x14ac:dyDescent="0.2">
      <c r="B4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7" s="158" t="str">
        <f>+CONCATENATE(ZEUFI037[[#This Row],[Type]],"-",ZEUFI037[[#This Row],[G/L Account]])</f>
        <v>ZV-34880000</v>
      </c>
      <c r="D47" s="159" t="str">
        <f>+CONCATENATE(ZEUFI037[[#This Row],[Type]],"-",ZEUFI037[[#This Row],[TCode]],"-",ZEUFI037[[#This Row],[CoCd]],"-",ZEUFI037[[#This Row],[DocumentNo]])</f>
        <v>ZV-FB05-AT01-2000003094</v>
      </c>
      <c r="E47" s="6" t="s">
        <v>101</v>
      </c>
      <c r="F47" s="6" t="s">
        <v>102</v>
      </c>
      <c r="G47" s="6" t="s">
        <v>103</v>
      </c>
      <c r="H47" s="6" t="s">
        <v>104</v>
      </c>
      <c r="I47" s="6" t="s">
        <v>105</v>
      </c>
      <c r="J47" s="6" t="s">
        <v>106</v>
      </c>
      <c r="K47" s="6" t="s">
        <v>107</v>
      </c>
      <c r="L47" s="6">
        <v>2000003094</v>
      </c>
      <c r="M47" s="121">
        <v>45712</v>
      </c>
      <c r="N47" s="121">
        <v>45712</v>
      </c>
      <c r="O47" s="121">
        <v>45712</v>
      </c>
      <c r="P47" s="6" t="s">
        <v>108</v>
      </c>
      <c r="Q47" s="6" t="s">
        <v>108</v>
      </c>
      <c r="R47" s="160"/>
      <c r="S47" s="162">
        <v>10707.96</v>
      </c>
      <c r="T47" s="107">
        <v>0</v>
      </c>
      <c r="U47" s="6">
        <v>2</v>
      </c>
      <c r="V47" s="6">
        <v>18</v>
      </c>
      <c r="W47" s="160">
        <v>1</v>
      </c>
      <c r="X47" s="163">
        <v>34880000</v>
      </c>
      <c r="Y47" s="160" t="s">
        <v>111</v>
      </c>
      <c r="Z47" s="6">
        <v>0</v>
      </c>
      <c r="AA47" s="6">
        <v>0</v>
      </c>
      <c r="AB47" s="6">
        <v>10707.96</v>
      </c>
      <c r="AC47" s="6">
        <v>0</v>
      </c>
      <c r="AD47" s="6" t="s">
        <v>108</v>
      </c>
      <c r="AE47" s="6"/>
      <c r="AF47" s="6"/>
      <c r="AG47" s="6"/>
      <c r="AH47" s="6"/>
      <c r="AI47" s="6"/>
      <c r="AJ47" s="6"/>
      <c r="AK47" s="7"/>
      <c r="AL47" s="6">
        <v>104296</v>
      </c>
      <c r="AM47" s="6" t="s">
        <v>135</v>
      </c>
    </row>
    <row r="48" spans="2:39" x14ac:dyDescent="0.2">
      <c r="B4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8" s="158" t="str">
        <f>+CONCATENATE(ZEUFI037[[#This Row],[Type]],"-",ZEUFI037[[#This Row],[G/L Account]])</f>
        <v>ZV-44110000</v>
      </c>
      <c r="D48" s="159" t="str">
        <f>+CONCATENATE(ZEUFI037[[#This Row],[Type]],"-",ZEUFI037[[#This Row],[TCode]],"-",ZEUFI037[[#This Row],[CoCd]],"-",ZEUFI037[[#This Row],[DocumentNo]])</f>
        <v>ZV-FB05-AT01-2000003094</v>
      </c>
      <c r="E48" s="6" t="s">
        <v>101</v>
      </c>
      <c r="F48" s="6" t="s">
        <v>102</v>
      </c>
      <c r="G48" s="6" t="s">
        <v>103</v>
      </c>
      <c r="H48" s="6" t="s">
        <v>104</v>
      </c>
      <c r="I48" s="6" t="s">
        <v>105</v>
      </c>
      <c r="J48" s="6" t="s">
        <v>106</v>
      </c>
      <c r="K48" s="6" t="s">
        <v>107</v>
      </c>
      <c r="L48" s="6">
        <v>2000003094</v>
      </c>
      <c r="M48" s="121">
        <v>45712</v>
      </c>
      <c r="N48" s="121">
        <v>45712</v>
      </c>
      <c r="O48" s="121">
        <v>45712</v>
      </c>
      <c r="P48" s="6" t="s">
        <v>108</v>
      </c>
      <c r="Q48" s="6" t="s">
        <v>108</v>
      </c>
      <c r="R48" s="160"/>
      <c r="S48" s="162">
        <v>10707.96</v>
      </c>
      <c r="T48" s="107">
        <v>0</v>
      </c>
      <c r="U48" s="6">
        <v>1</v>
      </c>
      <c r="V48" s="6">
        <v>25</v>
      </c>
      <c r="W48" s="160">
        <v>2</v>
      </c>
      <c r="X48" s="163">
        <v>44110000</v>
      </c>
      <c r="Y48" s="160" t="s">
        <v>109</v>
      </c>
      <c r="Z48" s="6">
        <v>10707.96</v>
      </c>
      <c r="AA48" s="6">
        <v>0</v>
      </c>
      <c r="AB48" s="6">
        <v>0</v>
      </c>
      <c r="AC48" s="6">
        <v>0</v>
      </c>
      <c r="AD48" s="6"/>
      <c r="AE48" s="6"/>
      <c r="AF48" s="6"/>
      <c r="AG48" s="6"/>
      <c r="AH48" s="6"/>
      <c r="AI48" s="6"/>
      <c r="AJ48" s="6"/>
      <c r="AK48" s="7"/>
      <c r="AL48" s="6">
        <v>102190</v>
      </c>
      <c r="AM48" s="6" t="s">
        <v>136</v>
      </c>
    </row>
    <row r="49" spans="2:39" x14ac:dyDescent="0.2">
      <c r="B4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9" s="158" t="str">
        <f>+CONCATENATE(ZEUFI037[[#This Row],[Type]],"-",ZEUFI037[[#This Row],[G/L Account]])</f>
        <v>ZV-34880000</v>
      </c>
      <c r="D49" s="159" t="str">
        <f>+CONCATENATE(ZEUFI037[[#This Row],[Type]],"-",ZEUFI037[[#This Row],[TCode]],"-",ZEUFI037[[#This Row],[CoCd]],"-",ZEUFI037[[#This Row],[DocumentNo]])</f>
        <v>ZV-FB05-AT01-2000003095</v>
      </c>
      <c r="E49" s="6" t="s">
        <v>101</v>
      </c>
      <c r="F49" s="6" t="s">
        <v>102</v>
      </c>
      <c r="G49" s="6" t="s">
        <v>103</v>
      </c>
      <c r="H49" s="6" t="s">
        <v>104</v>
      </c>
      <c r="I49" s="6" t="s">
        <v>105</v>
      </c>
      <c r="J49" s="6" t="s">
        <v>106</v>
      </c>
      <c r="K49" s="6" t="s">
        <v>107</v>
      </c>
      <c r="L49" s="6">
        <v>2000003095</v>
      </c>
      <c r="M49" s="121">
        <v>45712</v>
      </c>
      <c r="N49" s="121">
        <v>45712</v>
      </c>
      <c r="O49" s="121">
        <v>45712</v>
      </c>
      <c r="P49" s="6" t="s">
        <v>108</v>
      </c>
      <c r="Q49" s="6" t="s">
        <v>108</v>
      </c>
      <c r="R49" s="160"/>
      <c r="S49" s="162">
        <v>7074.17</v>
      </c>
      <c r="T49" s="107">
        <v>0</v>
      </c>
      <c r="U49" s="6">
        <v>2</v>
      </c>
      <c r="V49" s="6">
        <v>18</v>
      </c>
      <c r="W49" s="160">
        <v>1</v>
      </c>
      <c r="X49" s="163">
        <v>34880000</v>
      </c>
      <c r="Y49" s="160" t="s">
        <v>111</v>
      </c>
      <c r="Z49" s="6">
        <v>0</v>
      </c>
      <c r="AA49" s="6">
        <v>0</v>
      </c>
      <c r="AB49" s="6">
        <v>7074.17</v>
      </c>
      <c r="AC49" s="6">
        <v>0</v>
      </c>
      <c r="AD49" s="6" t="s">
        <v>108</v>
      </c>
      <c r="AE49" s="6"/>
      <c r="AF49" s="6"/>
      <c r="AG49" s="6"/>
      <c r="AH49" s="6"/>
      <c r="AI49" s="6"/>
      <c r="AJ49" s="6"/>
      <c r="AK49" s="7"/>
      <c r="AL49" s="6">
        <v>104296</v>
      </c>
      <c r="AM49" s="6" t="s">
        <v>135</v>
      </c>
    </row>
    <row r="50" spans="2:39" x14ac:dyDescent="0.2">
      <c r="B5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0" s="158" t="str">
        <f>+CONCATENATE(ZEUFI037[[#This Row],[Type]],"-",ZEUFI037[[#This Row],[G/L Account]])</f>
        <v>ZV-44110000</v>
      </c>
      <c r="D50" s="159" t="str">
        <f>+CONCATENATE(ZEUFI037[[#This Row],[Type]],"-",ZEUFI037[[#This Row],[TCode]],"-",ZEUFI037[[#This Row],[CoCd]],"-",ZEUFI037[[#This Row],[DocumentNo]])</f>
        <v>ZV-FB05-AT01-2000003095</v>
      </c>
      <c r="E50" s="6" t="s">
        <v>101</v>
      </c>
      <c r="F50" s="6" t="s">
        <v>102</v>
      </c>
      <c r="G50" s="6" t="s">
        <v>103</v>
      </c>
      <c r="H50" s="6" t="s">
        <v>104</v>
      </c>
      <c r="I50" s="6" t="s">
        <v>105</v>
      </c>
      <c r="J50" s="6" t="s">
        <v>106</v>
      </c>
      <c r="K50" s="6" t="s">
        <v>107</v>
      </c>
      <c r="L50" s="6">
        <v>2000003095</v>
      </c>
      <c r="M50" s="121">
        <v>45712</v>
      </c>
      <c r="N50" s="121">
        <v>45712</v>
      </c>
      <c r="O50" s="121">
        <v>45712</v>
      </c>
      <c r="P50" s="6" t="s">
        <v>108</v>
      </c>
      <c r="Q50" s="6" t="s">
        <v>108</v>
      </c>
      <c r="R50" s="160"/>
      <c r="S50" s="162">
        <v>7074.17</v>
      </c>
      <c r="T50" s="107">
        <v>0</v>
      </c>
      <c r="U50" s="6">
        <v>1</v>
      </c>
      <c r="V50" s="6">
        <v>25</v>
      </c>
      <c r="W50" s="160">
        <v>2</v>
      </c>
      <c r="X50" s="163">
        <v>44110000</v>
      </c>
      <c r="Y50" s="160" t="s">
        <v>109</v>
      </c>
      <c r="Z50" s="6">
        <v>7074.17</v>
      </c>
      <c r="AA50" s="6">
        <v>0</v>
      </c>
      <c r="AB50" s="6">
        <v>0</v>
      </c>
      <c r="AC50" s="6">
        <v>0</v>
      </c>
      <c r="AD50" s="6"/>
      <c r="AE50" s="6"/>
      <c r="AF50" s="6"/>
      <c r="AG50" s="6"/>
      <c r="AH50" s="6"/>
      <c r="AI50" s="6"/>
      <c r="AJ50" s="6"/>
      <c r="AK50" s="7"/>
      <c r="AL50" s="6">
        <v>102190</v>
      </c>
      <c r="AM50" s="6" t="s">
        <v>136</v>
      </c>
    </row>
    <row r="51" spans="2:39" x14ac:dyDescent="0.2">
      <c r="B5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1" s="158" t="str">
        <f>+CONCATENATE(ZEUFI037[[#This Row],[Type]],"-",ZEUFI037[[#This Row],[G/L Account]])</f>
        <v>ZV-34880000</v>
      </c>
      <c r="D51" s="159" t="str">
        <f>+CONCATENATE(ZEUFI037[[#This Row],[Type]],"-",ZEUFI037[[#This Row],[TCode]],"-",ZEUFI037[[#This Row],[CoCd]],"-",ZEUFI037[[#This Row],[DocumentNo]])</f>
        <v>ZV-FB05-AT01-2000003096</v>
      </c>
      <c r="E51" s="6" t="s">
        <v>101</v>
      </c>
      <c r="F51" s="6" t="s">
        <v>102</v>
      </c>
      <c r="G51" s="6" t="s">
        <v>103</v>
      </c>
      <c r="H51" s="6" t="s">
        <v>104</v>
      </c>
      <c r="I51" s="6" t="s">
        <v>105</v>
      </c>
      <c r="J51" s="6" t="s">
        <v>106</v>
      </c>
      <c r="K51" s="6" t="s">
        <v>107</v>
      </c>
      <c r="L51" s="6">
        <v>2000003096</v>
      </c>
      <c r="M51" s="121">
        <v>45713</v>
      </c>
      <c r="N51" s="121">
        <v>45713</v>
      </c>
      <c r="O51" s="121">
        <v>45713</v>
      </c>
      <c r="P51" s="6" t="s">
        <v>108</v>
      </c>
      <c r="Q51" s="6" t="s">
        <v>108</v>
      </c>
      <c r="R51" s="160"/>
      <c r="S51" s="162">
        <v>24798.25</v>
      </c>
      <c r="T51" s="107">
        <v>0</v>
      </c>
      <c r="U51" s="6">
        <v>2</v>
      </c>
      <c r="V51" s="6">
        <v>18</v>
      </c>
      <c r="W51" s="160">
        <v>1</v>
      </c>
      <c r="X51" s="163">
        <v>34880000</v>
      </c>
      <c r="Y51" s="160" t="s">
        <v>111</v>
      </c>
      <c r="Z51" s="6">
        <v>0</v>
      </c>
      <c r="AA51" s="6">
        <v>0</v>
      </c>
      <c r="AB51" s="6">
        <v>24798.25</v>
      </c>
      <c r="AC51" s="6">
        <v>0</v>
      </c>
      <c r="AD51" s="6" t="s">
        <v>108</v>
      </c>
      <c r="AE51" s="6"/>
      <c r="AF51" s="6"/>
      <c r="AG51" s="6"/>
      <c r="AH51" s="6"/>
      <c r="AI51" s="6"/>
      <c r="AJ51" s="6"/>
      <c r="AK51" s="7"/>
      <c r="AL51" s="6">
        <v>105025</v>
      </c>
      <c r="AM51" s="6" t="s">
        <v>137</v>
      </c>
    </row>
    <row r="52" spans="2:39" x14ac:dyDescent="0.2">
      <c r="B52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2" s="158" t="str">
        <f>+CONCATENATE(ZEUFI037[[#This Row],[Type]],"-",ZEUFI037[[#This Row],[G/L Account]])</f>
        <v>ZV-44110000</v>
      </c>
      <c r="D52" s="159" t="str">
        <f>+CONCATENATE(ZEUFI037[[#This Row],[Type]],"-",ZEUFI037[[#This Row],[TCode]],"-",ZEUFI037[[#This Row],[CoCd]],"-",ZEUFI037[[#This Row],[DocumentNo]])</f>
        <v>ZV-FB05-AT01-2000003096</v>
      </c>
      <c r="E52" s="6" t="s">
        <v>101</v>
      </c>
      <c r="F52" s="6" t="s">
        <v>102</v>
      </c>
      <c r="G52" s="6" t="s">
        <v>103</v>
      </c>
      <c r="H52" s="6" t="s">
        <v>104</v>
      </c>
      <c r="I52" s="6" t="s">
        <v>105</v>
      </c>
      <c r="J52" s="6" t="s">
        <v>106</v>
      </c>
      <c r="K52" s="6" t="s">
        <v>107</v>
      </c>
      <c r="L52" s="6">
        <v>2000003096</v>
      </c>
      <c r="M52" s="121">
        <v>45713</v>
      </c>
      <c r="N52" s="121">
        <v>45713</v>
      </c>
      <c r="O52" s="121">
        <v>45713</v>
      </c>
      <c r="P52" s="6" t="s">
        <v>108</v>
      </c>
      <c r="Q52" s="6" t="s">
        <v>108</v>
      </c>
      <c r="R52" s="160"/>
      <c r="S52" s="162">
        <v>24798.25</v>
      </c>
      <c r="T52" s="107">
        <v>0</v>
      </c>
      <c r="U52" s="6">
        <v>1</v>
      </c>
      <c r="V52" s="6">
        <v>25</v>
      </c>
      <c r="W52" s="160">
        <v>2</v>
      </c>
      <c r="X52" s="163">
        <v>44110000</v>
      </c>
      <c r="Y52" s="160" t="s">
        <v>109</v>
      </c>
      <c r="Z52" s="6">
        <v>24798.25</v>
      </c>
      <c r="AA52" s="6">
        <v>0</v>
      </c>
      <c r="AB52" s="6">
        <v>0</v>
      </c>
      <c r="AC52" s="6">
        <v>0</v>
      </c>
      <c r="AD52" s="6"/>
      <c r="AE52" s="6"/>
      <c r="AF52" s="6"/>
      <c r="AG52" s="6"/>
      <c r="AH52" s="6"/>
      <c r="AI52" s="6"/>
      <c r="AJ52" s="6"/>
      <c r="AK52" s="7"/>
      <c r="AL52" s="6">
        <v>102564</v>
      </c>
      <c r="AM52" s="6" t="s">
        <v>137</v>
      </c>
    </row>
    <row r="53" spans="2:39" x14ac:dyDescent="0.2">
      <c r="B53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3" s="158" t="str">
        <f>+CONCATENATE(ZEUFI037[[#This Row],[Type]],"-",ZEUFI037[[#This Row],[G/L Account]])</f>
        <v>ZV-44110000</v>
      </c>
      <c r="D53" s="159" t="str">
        <f>+CONCATENATE(ZEUFI037[[#This Row],[Type]],"-",ZEUFI037[[#This Row],[TCode]],"-",ZEUFI037[[#This Row],[CoCd]],"-",ZEUFI037[[#This Row],[DocumentNo]])</f>
        <v>ZV-FB05-AT01-2000003190</v>
      </c>
      <c r="E53" s="6" t="s">
        <v>101</v>
      </c>
      <c r="F53" s="6" t="s">
        <v>102</v>
      </c>
      <c r="G53" s="6" t="s">
        <v>103</v>
      </c>
      <c r="H53" s="6" t="s">
        <v>104</v>
      </c>
      <c r="I53" s="6" t="s">
        <v>105</v>
      </c>
      <c r="J53" s="6" t="s">
        <v>106</v>
      </c>
      <c r="K53" s="6" t="s">
        <v>107</v>
      </c>
      <c r="L53" s="6">
        <v>2000003190</v>
      </c>
      <c r="M53" s="121">
        <v>45713</v>
      </c>
      <c r="N53" s="121">
        <v>45713</v>
      </c>
      <c r="O53" s="121">
        <v>45713</v>
      </c>
      <c r="P53" s="6" t="s">
        <v>108</v>
      </c>
      <c r="Q53" s="6" t="s">
        <v>108</v>
      </c>
      <c r="R53" s="160"/>
      <c r="S53" s="162">
        <v>45271.31</v>
      </c>
      <c r="T53" s="107">
        <v>0</v>
      </c>
      <c r="U53" s="6">
        <v>1</v>
      </c>
      <c r="V53" s="6">
        <v>25</v>
      </c>
      <c r="W53" s="160">
        <v>2</v>
      </c>
      <c r="X53" s="163">
        <v>44110000</v>
      </c>
      <c r="Y53" s="160" t="s">
        <v>109</v>
      </c>
      <c r="Z53" s="6">
        <v>45271.31</v>
      </c>
      <c r="AA53" s="6">
        <v>0</v>
      </c>
      <c r="AB53" s="6">
        <v>0</v>
      </c>
      <c r="AC53" s="6">
        <v>0</v>
      </c>
      <c r="AD53" s="6"/>
      <c r="AE53" s="6"/>
      <c r="AF53" s="6"/>
      <c r="AG53" s="6"/>
      <c r="AH53" s="6"/>
      <c r="AI53" s="6"/>
      <c r="AJ53" s="6"/>
      <c r="AK53" s="7"/>
      <c r="AL53" s="6">
        <v>101575</v>
      </c>
      <c r="AM53" s="6" t="s">
        <v>138</v>
      </c>
    </row>
    <row r="54" spans="2:39" x14ac:dyDescent="0.2">
      <c r="B54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4" s="158" t="str">
        <f>+CONCATENATE(ZEUFI037[[#This Row],[Type]],"-",ZEUFI037[[#This Row],[G/L Account]])</f>
        <v>ZV-34880000</v>
      </c>
      <c r="D54" s="159" t="str">
        <f>+CONCATENATE(ZEUFI037[[#This Row],[Type]],"-",ZEUFI037[[#This Row],[TCode]],"-",ZEUFI037[[#This Row],[CoCd]],"-",ZEUFI037[[#This Row],[DocumentNo]])</f>
        <v>ZV-FB05-AT01-2000003190</v>
      </c>
      <c r="E54" s="6" t="s">
        <v>101</v>
      </c>
      <c r="F54" s="6" t="s">
        <v>102</v>
      </c>
      <c r="G54" s="6" t="s">
        <v>103</v>
      </c>
      <c r="H54" s="6" t="s">
        <v>104</v>
      </c>
      <c r="I54" s="6" t="s">
        <v>105</v>
      </c>
      <c r="J54" s="6" t="s">
        <v>106</v>
      </c>
      <c r="K54" s="6" t="s">
        <v>107</v>
      </c>
      <c r="L54" s="6">
        <v>2000003190</v>
      </c>
      <c r="M54" s="121">
        <v>45713</v>
      </c>
      <c r="N54" s="121">
        <v>45713</v>
      </c>
      <c r="O54" s="121">
        <v>45713</v>
      </c>
      <c r="P54" s="6" t="s">
        <v>108</v>
      </c>
      <c r="Q54" s="6" t="s">
        <v>108</v>
      </c>
      <c r="R54" s="160"/>
      <c r="S54" s="162">
        <v>45271.31</v>
      </c>
      <c r="T54" s="107">
        <v>0</v>
      </c>
      <c r="U54" s="6">
        <v>2</v>
      </c>
      <c r="V54" s="6">
        <v>18</v>
      </c>
      <c r="W54" s="160">
        <v>1</v>
      </c>
      <c r="X54" s="163">
        <v>34880000</v>
      </c>
      <c r="Y54" s="160" t="s">
        <v>111</v>
      </c>
      <c r="Z54" s="6">
        <v>0</v>
      </c>
      <c r="AA54" s="6">
        <v>0</v>
      </c>
      <c r="AB54" s="6">
        <v>45271.31</v>
      </c>
      <c r="AC54" s="6">
        <v>0</v>
      </c>
      <c r="AD54" s="6" t="s">
        <v>108</v>
      </c>
      <c r="AE54" s="6"/>
      <c r="AF54" s="6"/>
      <c r="AG54" s="6"/>
      <c r="AH54" s="6"/>
      <c r="AI54" s="6"/>
      <c r="AJ54" s="6"/>
      <c r="AK54" s="7"/>
      <c r="AL54" s="6">
        <v>102957</v>
      </c>
      <c r="AM54" s="6" t="s">
        <v>139</v>
      </c>
    </row>
    <row r="55" spans="2:39" x14ac:dyDescent="0.2">
      <c r="B55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5" s="158" t="str">
        <f>+CONCATENATE(ZEUFI037[[#This Row],[Type]],"-",ZEUFI037[[#This Row],[G/L Account]])</f>
        <v>ZV-44110000</v>
      </c>
      <c r="D55" s="159" t="str">
        <f>+CONCATENATE(ZEUFI037[[#This Row],[Type]],"-",ZEUFI037[[#This Row],[TCode]],"-",ZEUFI037[[#This Row],[CoCd]],"-",ZEUFI037[[#This Row],[DocumentNo]])</f>
        <v>ZV-FB05-AT01-2000003266</v>
      </c>
      <c r="E55" s="6" t="s">
        <v>101</v>
      </c>
      <c r="F55" s="6" t="s">
        <v>102</v>
      </c>
      <c r="G55" s="6" t="s">
        <v>103</v>
      </c>
      <c r="H55" s="6" t="s">
        <v>104</v>
      </c>
      <c r="I55" s="6" t="s">
        <v>105</v>
      </c>
      <c r="J55" s="6" t="s">
        <v>106</v>
      </c>
      <c r="K55" s="6" t="s">
        <v>107</v>
      </c>
      <c r="L55" s="6">
        <v>2000003266</v>
      </c>
      <c r="M55" s="121">
        <v>45714</v>
      </c>
      <c r="N55" s="121">
        <v>45714</v>
      </c>
      <c r="O55" s="121">
        <v>45714</v>
      </c>
      <c r="P55" s="6" t="s">
        <v>108</v>
      </c>
      <c r="Q55" s="6" t="s">
        <v>108</v>
      </c>
      <c r="R55" s="160"/>
      <c r="S55" s="162">
        <v>13852.31</v>
      </c>
      <c r="T55" s="107">
        <v>0</v>
      </c>
      <c r="U55" s="6">
        <v>1</v>
      </c>
      <c r="V55" s="6">
        <v>25</v>
      </c>
      <c r="W55" s="160">
        <v>2</v>
      </c>
      <c r="X55" s="163">
        <v>44110000</v>
      </c>
      <c r="Y55" s="160" t="s">
        <v>109</v>
      </c>
      <c r="Z55" s="6">
        <v>13852.31</v>
      </c>
      <c r="AA55" s="6">
        <v>0</v>
      </c>
      <c r="AB55" s="6">
        <v>0</v>
      </c>
      <c r="AC55" s="6">
        <v>0</v>
      </c>
      <c r="AD55" s="6"/>
      <c r="AE55" s="6"/>
      <c r="AF55" s="6"/>
      <c r="AG55" s="6"/>
      <c r="AH55" s="6"/>
      <c r="AI55" s="6"/>
      <c r="AJ55" s="6"/>
      <c r="AK55" s="7"/>
      <c r="AL55" s="6">
        <v>101441</v>
      </c>
      <c r="AM55" s="6" t="s">
        <v>140</v>
      </c>
    </row>
    <row r="56" spans="2:39" x14ac:dyDescent="0.2">
      <c r="B56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6" s="158" t="str">
        <f>+CONCATENATE(ZEUFI037[[#This Row],[Type]],"-",ZEUFI037[[#This Row],[G/L Account]])</f>
        <v>ZV-34880000</v>
      </c>
      <c r="D56" s="159" t="str">
        <f>+CONCATENATE(ZEUFI037[[#This Row],[Type]],"-",ZEUFI037[[#This Row],[TCode]],"-",ZEUFI037[[#This Row],[CoCd]],"-",ZEUFI037[[#This Row],[DocumentNo]])</f>
        <v>ZV-FB05-AT01-2000003266</v>
      </c>
      <c r="E56" s="6" t="s">
        <v>101</v>
      </c>
      <c r="F56" s="6" t="s">
        <v>102</v>
      </c>
      <c r="G56" s="6" t="s">
        <v>103</v>
      </c>
      <c r="H56" s="6" t="s">
        <v>104</v>
      </c>
      <c r="I56" s="6" t="s">
        <v>105</v>
      </c>
      <c r="J56" s="6" t="s">
        <v>106</v>
      </c>
      <c r="K56" s="6" t="s">
        <v>107</v>
      </c>
      <c r="L56" s="6">
        <v>2000003266</v>
      </c>
      <c r="M56" s="121">
        <v>45714</v>
      </c>
      <c r="N56" s="121">
        <v>45714</v>
      </c>
      <c r="O56" s="121">
        <v>45714</v>
      </c>
      <c r="P56" s="6" t="s">
        <v>108</v>
      </c>
      <c r="Q56" s="6" t="s">
        <v>108</v>
      </c>
      <c r="R56" s="160"/>
      <c r="S56" s="162">
        <v>13852.31</v>
      </c>
      <c r="T56" s="107">
        <v>0</v>
      </c>
      <c r="U56" s="6">
        <v>2</v>
      </c>
      <c r="V56" s="6">
        <v>18</v>
      </c>
      <c r="W56" s="160">
        <v>1</v>
      </c>
      <c r="X56" s="163">
        <v>34880000</v>
      </c>
      <c r="Y56" s="160" t="s">
        <v>111</v>
      </c>
      <c r="Z56" s="6">
        <v>0</v>
      </c>
      <c r="AA56" s="6">
        <v>0</v>
      </c>
      <c r="AB56" s="6">
        <v>13852.31</v>
      </c>
      <c r="AC56" s="6">
        <v>0</v>
      </c>
      <c r="AD56" s="6" t="s">
        <v>108</v>
      </c>
      <c r="AE56" s="6"/>
      <c r="AF56" s="6"/>
      <c r="AG56" s="6"/>
      <c r="AH56" s="6"/>
      <c r="AI56" s="6"/>
      <c r="AJ56" s="6"/>
      <c r="AK56" s="7"/>
      <c r="AL56" s="6">
        <v>102709</v>
      </c>
      <c r="AM56" s="6" t="s">
        <v>141</v>
      </c>
    </row>
    <row r="57" spans="2:39" x14ac:dyDescent="0.2">
      <c r="B5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7" s="158" t="str">
        <f>+CONCATENATE(ZEUFI037[[#This Row],[Type]],"-",ZEUFI037[[#This Row],[G/L Account]])</f>
        <v>ZV-44110000</v>
      </c>
      <c r="D57" s="159" t="str">
        <f>+CONCATENATE(ZEUFI037[[#This Row],[Type]],"-",ZEUFI037[[#This Row],[TCode]],"-",ZEUFI037[[#This Row],[CoCd]],"-",ZEUFI037[[#This Row],[DocumentNo]])</f>
        <v>ZV-FB05-AT01-2000003426</v>
      </c>
      <c r="E57" s="6" t="s">
        <v>101</v>
      </c>
      <c r="F57" s="6" t="s">
        <v>102</v>
      </c>
      <c r="G57" s="6" t="s">
        <v>103</v>
      </c>
      <c r="H57" s="6" t="s">
        <v>104</v>
      </c>
      <c r="I57" s="6" t="s">
        <v>105</v>
      </c>
      <c r="J57" s="6" t="s">
        <v>106</v>
      </c>
      <c r="K57" s="6" t="s">
        <v>107</v>
      </c>
      <c r="L57" s="6">
        <v>2000003426</v>
      </c>
      <c r="M57" s="121">
        <v>45716</v>
      </c>
      <c r="N57" s="121">
        <v>45716</v>
      </c>
      <c r="O57" s="121">
        <v>45716</v>
      </c>
      <c r="P57" s="6" t="s">
        <v>108</v>
      </c>
      <c r="Q57" s="6" t="s">
        <v>108</v>
      </c>
      <c r="R57" s="160"/>
      <c r="S57" s="162">
        <v>18931.560000000001</v>
      </c>
      <c r="T57" s="107">
        <v>0</v>
      </c>
      <c r="U57" s="6">
        <v>1</v>
      </c>
      <c r="V57" s="6">
        <v>25</v>
      </c>
      <c r="W57" s="160">
        <v>2</v>
      </c>
      <c r="X57" s="163">
        <v>44110000</v>
      </c>
      <c r="Y57" s="160" t="s">
        <v>109</v>
      </c>
      <c r="Z57" s="6">
        <v>18931.560000000001</v>
      </c>
      <c r="AA57" s="6">
        <v>0</v>
      </c>
      <c r="AB57" s="6">
        <v>0</v>
      </c>
      <c r="AC57" s="6">
        <v>0</v>
      </c>
      <c r="AD57" s="6"/>
      <c r="AE57" s="6"/>
      <c r="AF57" s="6"/>
      <c r="AG57" s="6"/>
      <c r="AH57" s="6"/>
      <c r="AI57" s="6"/>
      <c r="AJ57" s="6"/>
      <c r="AK57" s="7"/>
      <c r="AL57" s="6">
        <v>102191</v>
      </c>
      <c r="AM57" s="6" t="s">
        <v>113</v>
      </c>
    </row>
    <row r="58" spans="2:39" x14ac:dyDescent="0.2">
      <c r="B5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8" s="158" t="str">
        <f>+CONCATENATE(ZEUFI037[[#This Row],[Type]],"-",ZEUFI037[[#This Row],[G/L Account]])</f>
        <v>ZV-34880000</v>
      </c>
      <c r="D58" s="159" t="str">
        <f>+CONCATENATE(ZEUFI037[[#This Row],[Type]],"-",ZEUFI037[[#This Row],[TCode]],"-",ZEUFI037[[#This Row],[CoCd]],"-",ZEUFI037[[#This Row],[DocumentNo]])</f>
        <v>ZV-FB05-AT01-2000003426</v>
      </c>
      <c r="E58" s="6" t="s">
        <v>101</v>
      </c>
      <c r="F58" s="6" t="s">
        <v>102</v>
      </c>
      <c r="G58" s="6" t="s">
        <v>103</v>
      </c>
      <c r="H58" s="6" t="s">
        <v>104</v>
      </c>
      <c r="I58" s="6" t="s">
        <v>105</v>
      </c>
      <c r="J58" s="6" t="s">
        <v>106</v>
      </c>
      <c r="K58" s="6" t="s">
        <v>107</v>
      </c>
      <c r="L58" s="6">
        <v>2000003426</v>
      </c>
      <c r="M58" s="121">
        <v>45716</v>
      </c>
      <c r="N58" s="121">
        <v>45716</v>
      </c>
      <c r="O58" s="121">
        <v>45716</v>
      </c>
      <c r="P58" s="6" t="s">
        <v>108</v>
      </c>
      <c r="Q58" s="6" t="s">
        <v>108</v>
      </c>
      <c r="R58" s="160"/>
      <c r="S58" s="162">
        <v>18931.560000000001</v>
      </c>
      <c r="T58" s="107">
        <v>0</v>
      </c>
      <c r="U58" s="6">
        <v>2</v>
      </c>
      <c r="V58" s="6">
        <v>18</v>
      </c>
      <c r="W58" s="160">
        <v>1</v>
      </c>
      <c r="X58" s="163">
        <v>34880000</v>
      </c>
      <c r="Y58" s="160" t="s">
        <v>111</v>
      </c>
      <c r="Z58" s="6">
        <v>0</v>
      </c>
      <c r="AA58" s="6">
        <v>0</v>
      </c>
      <c r="AB58" s="6">
        <v>18931.560000000001</v>
      </c>
      <c r="AC58" s="6">
        <v>0</v>
      </c>
      <c r="AD58" s="6" t="s">
        <v>108</v>
      </c>
      <c r="AE58" s="6"/>
      <c r="AF58" s="6"/>
      <c r="AG58" s="6"/>
      <c r="AH58" s="6"/>
      <c r="AI58" s="6"/>
      <c r="AJ58" s="6"/>
      <c r="AK58" s="7"/>
      <c r="AL58" s="6">
        <v>104309</v>
      </c>
      <c r="AM58" s="6" t="s">
        <v>113</v>
      </c>
    </row>
    <row r="59" spans="2:39" x14ac:dyDescent="0.2">
      <c r="B5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9" s="158" t="str">
        <f>+CONCATENATE(ZEUFI037[[#This Row],[Type]],"-",ZEUFI037[[#This Row],[G/L Account]])</f>
        <v>ZV-44110000</v>
      </c>
      <c r="D59" s="159" t="str">
        <f>+CONCATENATE(ZEUFI037[[#This Row],[Type]],"-",ZEUFI037[[#This Row],[TCode]],"-",ZEUFI037[[#This Row],[CoCd]],"-",ZEUFI037[[#This Row],[DocumentNo]])</f>
        <v>ZV-FB05-AT02-2000000157</v>
      </c>
      <c r="E59" s="6" t="s">
        <v>142</v>
      </c>
      <c r="F59" s="6" t="s">
        <v>102</v>
      </c>
      <c r="G59" s="6" t="s">
        <v>143</v>
      </c>
      <c r="H59" s="6" t="s">
        <v>104</v>
      </c>
      <c r="I59" s="6" t="s">
        <v>105</v>
      </c>
      <c r="J59" s="6" t="s">
        <v>106</v>
      </c>
      <c r="K59" s="6" t="s">
        <v>107</v>
      </c>
      <c r="L59" s="6">
        <v>2000000157</v>
      </c>
      <c r="M59" s="121">
        <v>45698</v>
      </c>
      <c r="N59" s="121">
        <v>45698</v>
      </c>
      <c r="O59" s="121">
        <v>45698</v>
      </c>
      <c r="P59" s="6"/>
      <c r="Q59" s="6"/>
      <c r="R59" s="160"/>
      <c r="S59" s="162">
        <v>126459.59</v>
      </c>
      <c r="T59" s="107">
        <v>0</v>
      </c>
      <c r="U59" s="6">
        <v>4</v>
      </c>
      <c r="V59" s="6">
        <v>25</v>
      </c>
      <c r="W59" s="160">
        <v>2</v>
      </c>
      <c r="X59" s="163">
        <v>44110000</v>
      </c>
      <c r="Y59" s="160" t="s">
        <v>109</v>
      </c>
      <c r="Z59" s="6">
        <v>53973.8</v>
      </c>
      <c r="AA59" s="6">
        <v>0</v>
      </c>
      <c r="AB59" s="6">
        <v>0</v>
      </c>
      <c r="AC59" s="6">
        <v>0</v>
      </c>
      <c r="AD59" s="6"/>
      <c r="AE59" s="6"/>
      <c r="AF59" s="6"/>
      <c r="AG59" s="6"/>
      <c r="AH59" s="6"/>
      <c r="AI59" s="6"/>
      <c r="AJ59" s="6"/>
      <c r="AK59" s="7"/>
      <c r="AL59" s="6">
        <v>102454</v>
      </c>
      <c r="AM59" s="6" t="s">
        <v>144</v>
      </c>
    </row>
    <row r="60" spans="2:39" x14ac:dyDescent="0.2">
      <c r="B6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0" s="158" t="str">
        <f>+CONCATENATE(ZEUFI037[[#This Row],[Type]],"-",ZEUFI037[[#This Row],[G/L Account]])</f>
        <v>ZV-34210000</v>
      </c>
      <c r="D60" s="159" t="str">
        <f>+CONCATENATE(ZEUFI037[[#This Row],[Type]],"-",ZEUFI037[[#This Row],[TCode]],"-",ZEUFI037[[#This Row],[CoCd]],"-",ZEUFI037[[#This Row],[DocumentNo]])</f>
        <v>ZV-FB05-AT02-2000000157</v>
      </c>
      <c r="E60" s="6" t="s">
        <v>142</v>
      </c>
      <c r="F60" s="6" t="s">
        <v>102</v>
      </c>
      <c r="G60" s="6" t="s">
        <v>143</v>
      </c>
      <c r="H60" s="6" t="s">
        <v>104</v>
      </c>
      <c r="I60" s="6" t="s">
        <v>105</v>
      </c>
      <c r="J60" s="6" t="s">
        <v>106</v>
      </c>
      <c r="K60" s="6" t="s">
        <v>107</v>
      </c>
      <c r="L60" s="6">
        <v>2000000157</v>
      </c>
      <c r="M60" s="121">
        <v>45698</v>
      </c>
      <c r="N60" s="121">
        <v>45698</v>
      </c>
      <c r="O60" s="121">
        <v>45698</v>
      </c>
      <c r="P60" s="6"/>
      <c r="Q60" s="6"/>
      <c r="R60" s="160"/>
      <c r="S60" s="162">
        <v>126459.59</v>
      </c>
      <c r="T60" s="107">
        <v>0</v>
      </c>
      <c r="U60" s="6">
        <v>1</v>
      </c>
      <c r="V60" s="6">
        <v>18</v>
      </c>
      <c r="W60" s="160">
        <v>1</v>
      </c>
      <c r="X60" s="163">
        <v>34210000</v>
      </c>
      <c r="Y60" s="160" t="s">
        <v>145</v>
      </c>
      <c r="Z60" s="6">
        <v>0</v>
      </c>
      <c r="AA60" s="6">
        <v>0</v>
      </c>
      <c r="AB60" s="6">
        <v>12238.21</v>
      </c>
      <c r="AC60" s="6">
        <v>0</v>
      </c>
      <c r="AD60" s="6"/>
      <c r="AE60" s="6"/>
      <c r="AF60" s="6"/>
      <c r="AG60" s="6"/>
      <c r="AH60" s="6"/>
      <c r="AI60" s="6"/>
      <c r="AJ60" s="6"/>
      <c r="AK60" s="7"/>
      <c r="AL60" s="6">
        <v>104951</v>
      </c>
      <c r="AM60" s="6" t="s">
        <v>146</v>
      </c>
    </row>
    <row r="61" spans="2:39" x14ac:dyDescent="0.2">
      <c r="B6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1" s="158" t="str">
        <f>+CONCATENATE(ZEUFI037[[#This Row],[Type]],"-",ZEUFI037[[#This Row],[G/L Account]])</f>
        <v>ZV-34210000</v>
      </c>
      <c r="D61" s="159" t="str">
        <f>+CONCATENATE(ZEUFI037[[#This Row],[Type]],"-",ZEUFI037[[#This Row],[TCode]],"-",ZEUFI037[[#This Row],[CoCd]],"-",ZEUFI037[[#This Row],[DocumentNo]])</f>
        <v>ZV-FB05-AT02-2000000157</v>
      </c>
      <c r="E61" s="6" t="s">
        <v>142</v>
      </c>
      <c r="F61" s="6" t="s">
        <v>102</v>
      </c>
      <c r="G61" s="6" t="s">
        <v>143</v>
      </c>
      <c r="H61" s="6" t="s">
        <v>104</v>
      </c>
      <c r="I61" s="6" t="s">
        <v>105</v>
      </c>
      <c r="J61" s="6" t="s">
        <v>106</v>
      </c>
      <c r="K61" s="6" t="s">
        <v>107</v>
      </c>
      <c r="L61" s="6">
        <v>2000000157</v>
      </c>
      <c r="M61" s="121">
        <v>45698</v>
      </c>
      <c r="N61" s="121">
        <v>45698</v>
      </c>
      <c r="O61" s="121">
        <v>45698</v>
      </c>
      <c r="P61" s="6"/>
      <c r="Q61" s="6"/>
      <c r="R61" s="160"/>
      <c r="S61" s="162">
        <v>126459.59</v>
      </c>
      <c r="T61" s="107">
        <v>0</v>
      </c>
      <c r="U61" s="6">
        <v>2</v>
      </c>
      <c r="V61" s="6">
        <v>5</v>
      </c>
      <c r="W61" s="160">
        <v>0</v>
      </c>
      <c r="X61" s="163">
        <v>34210000</v>
      </c>
      <c r="Y61" s="160" t="s">
        <v>145</v>
      </c>
      <c r="Z61" s="6">
        <v>72485.789999999994</v>
      </c>
      <c r="AA61" s="6">
        <v>0</v>
      </c>
      <c r="AB61" s="6">
        <v>0</v>
      </c>
      <c r="AC61" s="6">
        <v>0</v>
      </c>
      <c r="AD61" s="6"/>
      <c r="AE61" s="6"/>
      <c r="AF61" s="6"/>
      <c r="AG61" s="6"/>
      <c r="AH61" s="6"/>
      <c r="AI61" s="6"/>
      <c r="AJ61" s="6"/>
      <c r="AK61" s="7"/>
      <c r="AL61" s="6">
        <v>104951</v>
      </c>
      <c r="AM61" s="6" t="s">
        <v>146</v>
      </c>
    </row>
    <row r="62" spans="2:39" x14ac:dyDescent="0.2">
      <c r="B62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2" s="158" t="str">
        <f>+CONCATENATE(ZEUFI037[[#This Row],[Type]],"-",ZEUFI037[[#This Row],[G/L Account]])</f>
        <v>ZV-34210000</v>
      </c>
      <c r="D62" s="159" t="str">
        <f>+CONCATENATE(ZEUFI037[[#This Row],[Type]],"-",ZEUFI037[[#This Row],[TCode]],"-",ZEUFI037[[#This Row],[CoCd]],"-",ZEUFI037[[#This Row],[DocumentNo]])</f>
        <v>ZV-FB05-AT02-2000000157</v>
      </c>
      <c r="E62" s="6" t="s">
        <v>142</v>
      </c>
      <c r="F62" s="6" t="s">
        <v>102</v>
      </c>
      <c r="G62" s="6" t="s">
        <v>143</v>
      </c>
      <c r="H62" s="6" t="s">
        <v>104</v>
      </c>
      <c r="I62" s="6" t="s">
        <v>105</v>
      </c>
      <c r="J62" s="6" t="s">
        <v>106</v>
      </c>
      <c r="K62" s="6" t="s">
        <v>107</v>
      </c>
      <c r="L62" s="6">
        <v>2000000157</v>
      </c>
      <c r="M62" s="121">
        <v>45698</v>
      </c>
      <c r="N62" s="121">
        <v>45698</v>
      </c>
      <c r="O62" s="121">
        <v>45698</v>
      </c>
      <c r="P62" s="6"/>
      <c r="Q62" s="6"/>
      <c r="R62" s="160"/>
      <c r="S62" s="162">
        <v>126459.59</v>
      </c>
      <c r="T62" s="107">
        <v>0</v>
      </c>
      <c r="U62" s="6">
        <v>3</v>
      </c>
      <c r="V62" s="6">
        <v>18</v>
      </c>
      <c r="W62" s="160">
        <v>1</v>
      </c>
      <c r="X62" s="163">
        <v>34210000</v>
      </c>
      <c r="Y62" s="160" t="s">
        <v>145</v>
      </c>
      <c r="Z62" s="6">
        <v>0</v>
      </c>
      <c r="AA62" s="6">
        <v>0</v>
      </c>
      <c r="AB62" s="6">
        <v>114221.38</v>
      </c>
      <c r="AC62" s="6">
        <v>0</v>
      </c>
      <c r="AD62" s="6"/>
      <c r="AE62" s="6"/>
      <c r="AF62" s="6"/>
      <c r="AG62" s="6"/>
      <c r="AH62" s="6"/>
      <c r="AI62" s="6"/>
      <c r="AJ62" s="6"/>
      <c r="AK62" s="7"/>
      <c r="AL62" s="6">
        <v>104951</v>
      </c>
      <c r="AM62" s="6" t="s">
        <v>146</v>
      </c>
    </row>
    <row r="63" spans="2:39" x14ac:dyDescent="0.2">
      <c r="B63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3" s="158" t="str">
        <f>+CONCATENATE(ZEUFI037[[#This Row],[Type]],"-",ZEUFI037[[#This Row],[G/L Account]])</f>
        <v>ZV-44110000</v>
      </c>
      <c r="D63" s="159" t="str">
        <f>+CONCATENATE(ZEUFI037[[#This Row],[Type]],"-",ZEUFI037[[#This Row],[TCode]],"-",ZEUFI037[[#This Row],[CoCd]],"-",ZEUFI037[[#This Row],[DocumentNo]])</f>
        <v>ZV-FB05-BT03-2000000199</v>
      </c>
      <c r="E63" s="6" t="s">
        <v>147</v>
      </c>
      <c r="F63" s="6" t="s">
        <v>102</v>
      </c>
      <c r="G63" s="6" t="s">
        <v>143</v>
      </c>
      <c r="H63" s="6" t="s">
        <v>104</v>
      </c>
      <c r="I63" s="6" t="s">
        <v>105</v>
      </c>
      <c r="J63" s="6" t="s">
        <v>106</v>
      </c>
      <c r="K63" s="6" t="s">
        <v>107</v>
      </c>
      <c r="L63" s="6">
        <v>2000000199</v>
      </c>
      <c r="M63" s="121">
        <v>45698</v>
      </c>
      <c r="N63" s="121">
        <v>45698</v>
      </c>
      <c r="O63" s="121">
        <v>45698</v>
      </c>
      <c r="P63" s="6"/>
      <c r="Q63" s="6"/>
      <c r="R63" s="160"/>
      <c r="S63" s="162">
        <v>1080698.57</v>
      </c>
      <c r="T63" s="107">
        <v>0</v>
      </c>
      <c r="U63" s="6">
        <v>4</v>
      </c>
      <c r="V63" s="6">
        <v>25</v>
      </c>
      <c r="W63" s="160">
        <v>2</v>
      </c>
      <c r="X63" s="163">
        <v>44110000</v>
      </c>
      <c r="Y63" s="160" t="s">
        <v>109</v>
      </c>
      <c r="Z63" s="6">
        <v>503344.43</v>
      </c>
      <c r="AA63" s="6">
        <v>0</v>
      </c>
      <c r="AB63" s="6">
        <v>0</v>
      </c>
      <c r="AC63" s="6">
        <v>0</v>
      </c>
      <c r="AD63" s="6"/>
      <c r="AE63" s="6"/>
      <c r="AF63" s="6"/>
      <c r="AG63" s="6"/>
      <c r="AH63" s="6"/>
      <c r="AI63" s="6"/>
      <c r="AJ63" s="6"/>
      <c r="AK63" s="7"/>
      <c r="AL63" s="6">
        <v>101276</v>
      </c>
      <c r="AM63" s="6" t="s">
        <v>148</v>
      </c>
    </row>
    <row r="64" spans="2:39" x14ac:dyDescent="0.2">
      <c r="B64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4" s="158" t="str">
        <f>+CONCATENATE(ZEUFI037[[#This Row],[Type]],"-",ZEUFI037[[#This Row],[G/L Account]])</f>
        <v>ZV-34210000</v>
      </c>
      <c r="D64" s="159" t="str">
        <f>+CONCATENATE(ZEUFI037[[#This Row],[Type]],"-",ZEUFI037[[#This Row],[TCode]],"-",ZEUFI037[[#This Row],[CoCd]],"-",ZEUFI037[[#This Row],[DocumentNo]])</f>
        <v>ZV-FB05-BT03-2000000199</v>
      </c>
      <c r="E64" s="6" t="s">
        <v>147</v>
      </c>
      <c r="F64" s="6" t="s">
        <v>102</v>
      </c>
      <c r="G64" s="6" t="s">
        <v>143</v>
      </c>
      <c r="H64" s="6" t="s">
        <v>104</v>
      </c>
      <c r="I64" s="6" t="s">
        <v>105</v>
      </c>
      <c r="J64" s="6" t="s">
        <v>106</v>
      </c>
      <c r="K64" s="6" t="s">
        <v>107</v>
      </c>
      <c r="L64" s="6">
        <v>2000000199</v>
      </c>
      <c r="M64" s="121">
        <v>45698</v>
      </c>
      <c r="N64" s="121">
        <v>45698</v>
      </c>
      <c r="O64" s="121">
        <v>45698</v>
      </c>
      <c r="P64" s="6"/>
      <c r="Q64" s="6"/>
      <c r="R64" s="160"/>
      <c r="S64" s="162">
        <v>1080698.57</v>
      </c>
      <c r="T64" s="107">
        <v>0</v>
      </c>
      <c r="U64" s="6">
        <v>3</v>
      </c>
      <c r="V64" s="6">
        <v>18</v>
      </c>
      <c r="W64" s="160">
        <v>1</v>
      </c>
      <c r="X64" s="163">
        <v>34210000</v>
      </c>
      <c r="Y64" s="160" t="s">
        <v>145</v>
      </c>
      <c r="Z64" s="6">
        <v>0</v>
      </c>
      <c r="AA64" s="6">
        <v>0</v>
      </c>
      <c r="AB64" s="6">
        <v>658514.94999999995</v>
      </c>
      <c r="AC64" s="6">
        <v>0</v>
      </c>
      <c r="AD64" s="6"/>
      <c r="AE64" s="6"/>
      <c r="AF64" s="6"/>
      <c r="AG64" s="6"/>
      <c r="AH64" s="6"/>
      <c r="AI64" s="6"/>
      <c r="AJ64" s="6"/>
      <c r="AK64" s="7"/>
      <c r="AL64" s="6">
        <v>103089</v>
      </c>
      <c r="AM64" s="6" t="s">
        <v>149</v>
      </c>
    </row>
    <row r="65" spans="2:39" x14ac:dyDescent="0.2">
      <c r="B65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5" s="158" t="str">
        <f>+CONCATENATE(ZEUFI037[[#This Row],[Type]],"-",ZEUFI037[[#This Row],[G/L Account]])</f>
        <v>ZV-34210000</v>
      </c>
      <c r="D65" s="159" t="str">
        <f>+CONCATENATE(ZEUFI037[[#This Row],[Type]],"-",ZEUFI037[[#This Row],[TCode]],"-",ZEUFI037[[#This Row],[CoCd]],"-",ZEUFI037[[#This Row],[DocumentNo]])</f>
        <v>ZV-FB05-BT03-2000000199</v>
      </c>
      <c r="E65" s="6" t="s">
        <v>147</v>
      </c>
      <c r="F65" s="6" t="s">
        <v>102</v>
      </c>
      <c r="G65" s="6" t="s">
        <v>143</v>
      </c>
      <c r="H65" s="6" t="s">
        <v>104</v>
      </c>
      <c r="I65" s="6" t="s">
        <v>105</v>
      </c>
      <c r="J65" s="6" t="s">
        <v>106</v>
      </c>
      <c r="K65" s="6" t="s">
        <v>107</v>
      </c>
      <c r="L65" s="6">
        <v>2000000199</v>
      </c>
      <c r="M65" s="121">
        <v>45698</v>
      </c>
      <c r="N65" s="121">
        <v>45698</v>
      </c>
      <c r="O65" s="121">
        <v>45698</v>
      </c>
      <c r="P65" s="6"/>
      <c r="Q65" s="6"/>
      <c r="R65" s="160"/>
      <c r="S65" s="162">
        <v>1080698.57</v>
      </c>
      <c r="T65" s="107">
        <v>0</v>
      </c>
      <c r="U65" s="6">
        <v>2</v>
      </c>
      <c r="V65" s="6">
        <v>5</v>
      </c>
      <c r="W65" s="160">
        <v>0</v>
      </c>
      <c r="X65" s="163">
        <v>34210000</v>
      </c>
      <c r="Y65" s="160" t="s">
        <v>145</v>
      </c>
      <c r="Z65" s="6">
        <v>577354.14</v>
      </c>
      <c r="AA65" s="6">
        <v>0</v>
      </c>
      <c r="AB65" s="6">
        <v>0</v>
      </c>
      <c r="AC65" s="6">
        <v>0</v>
      </c>
      <c r="AD65" s="6"/>
      <c r="AE65" s="6"/>
      <c r="AF65" s="6"/>
      <c r="AG65" s="6"/>
      <c r="AH65" s="6"/>
      <c r="AI65" s="6"/>
      <c r="AJ65" s="6"/>
      <c r="AK65" s="7"/>
      <c r="AL65" s="6">
        <v>103089</v>
      </c>
      <c r="AM65" s="6" t="s">
        <v>149</v>
      </c>
    </row>
    <row r="66" spans="2:39" x14ac:dyDescent="0.2">
      <c r="B66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6" s="158" t="str">
        <f>+CONCATENATE(ZEUFI037[[#This Row],[Type]],"-",ZEUFI037[[#This Row],[G/L Account]])</f>
        <v>ZV-34210000</v>
      </c>
      <c r="D66" s="159" t="str">
        <f>+CONCATENATE(ZEUFI037[[#This Row],[Type]],"-",ZEUFI037[[#This Row],[TCode]],"-",ZEUFI037[[#This Row],[CoCd]],"-",ZEUFI037[[#This Row],[DocumentNo]])</f>
        <v>ZV-FB05-BT03-2000000199</v>
      </c>
      <c r="E66" s="6" t="s">
        <v>147</v>
      </c>
      <c r="F66" s="6" t="s">
        <v>102</v>
      </c>
      <c r="G66" s="6" t="s">
        <v>143</v>
      </c>
      <c r="H66" s="6" t="s">
        <v>104</v>
      </c>
      <c r="I66" s="6" t="s">
        <v>105</v>
      </c>
      <c r="J66" s="6" t="s">
        <v>106</v>
      </c>
      <c r="K66" s="6" t="s">
        <v>107</v>
      </c>
      <c r="L66" s="6">
        <v>2000000199</v>
      </c>
      <c r="M66" s="121">
        <v>45698</v>
      </c>
      <c r="N66" s="121">
        <v>45698</v>
      </c>
      <c r="O66" s="121">
        <v>45698</v>
      </c>
      <c r="P66" s="6"/>
      <c r="Q66" s="6"/>
      <c r="R66" s="160"/>
      <c r="S66" s="162">
        <v>1080698.57</v>
      </c>
      <c r="T66" s="107">
        <v>0</v>
      </c>
      <c r="U66" s="6">
        <v>1</v>
      </c>
      <c r="V66" s="6">
        <v>18</v>
      </c>
      <c r="W66" s="160">
        <v>1</v>
      </c>
      <c r="X66" s="163">
        <v>34210000</v>
      </c>
      <c r="Y66" s="160" t="s">
        <v>145</v>
      </c>
      <c r="Z66" s="6">
        <v>0</v>
      </c>
      <c r="AA66" s="6">
        <v>0</v>
      </c>
      <c r="AB66" s="6">
        <v>422183.62</v>
      </c>
      <c r="AC66" s="6">
        <v>0</v>
      </c>
      <c r="AD66" s="6"/>
      <c r="AE66" s="6"/>
      <c r="AF66" s="6"/>
      <c r="AG66" s="6"/>
      <c r="AH66" s="6"/>
      <c r="AI66" s="6"/>
      <c r="AJ66" s="6"/>
      <c r="AK66" s="7"/>
      <c r="AL66" s="6">
        <v>103089</v>
      </c>
      <c r="AM66" s="6" t="s">
        <v>149</v>
      </c>
    </row>
    <row r="67" spans="2:39" x14ac:dyDescent="0.2">
      <c r="B6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7" s="158" t="str">
        <f>+CONCATENATE(ZEUFI037[[#This Row],[Type]],"-",ZEUFI037[[#This Row],[G/L Account]])</f>
        <v>ZV-34210000</v>
      </c>
      <c r="D67" s="159" t="str">
        <f>+CONCATENATE(ZEUFI037[[#This Row],[Type]],"-",ZEUFI037[[#This Row],[TCode]],"-",ZEUFI037[[#This Row],[CoCd]],"-",ZEUFI037[[#This Row],[DocumentNo]])</f>
        <v>ZV-FB05-BT03-2000000209</v>
      </c>
      <c r="E67" s="6" t="s">
        <v>147</v>
      </c>
      <c r="F67" s="6" t="s">
        <v>102</v>
      </c>
      <c r="G67" s="6" t="s">
        <v>143</v>
      </c>
      <c r="H67" s="6" t="s">
        <v>104</v>
      </c>
      <c r="I67" s="6" t="s">
        <v>105</v>
      </c>
      <c r="J67" s="6" t="s">
        <v>106</v>
      </c>
      <c r="K67" s="6" t="s">
        <v>107</v>
      </c>
      <c r="L67" s="6">
        <v>2000000209</v>
      </c>
      <c r="M67" s="121">
        <v>45700</v>
      </c>
      <c r="N67" s="121">
        <v>45700</v>
      </c>
      <c r="O67" s="121">
        <v>45700</v>
      </c>
      <c r="P67" s="6"/>
      <c r="Q67" s="6"/>
      <c r="R67" s="160"/>
      <c r="S67" s="162">
        <v>5110.2700000000004</v>
      </c>
      <c r="T67" s="107">
        <v>0</v>
      </c>
      <c r="U67" s="6">
        <v>2</v>
      </c>
      <c r="V67" s="6">
        <v>18</v>
      </c>
      <c r="W67" s="160">
        <v>1</v>
      </c>
      <c r="X67" s="163">
        <v>34210000</v>
      </c>
      <c r="Y67" s="160" t="s">
        <v>145</v>
      </c>
      <c r="Z67" s="6">
        <v>0</v>
      </c>
      <c r="AA67" s="6">
        <v>0</v>
      </c>
      <c r="AB67" s="6">
        <v>5110.2700000000004</v>
      </c>
      <c r="AC67" s="6">
        <v>0</v>
      </c>
      <c r="AD67" s="6"/>
      <c r="AE67" s="6"/>
      <c r="AF67" s="6"/>
      <c r="AG67" s="6"/>
      <c r="AH67" s="6"/>
      <c r="AI67" s="6"/>
      <c r="AJ67" s="6"/>
      <c r="AK67" s="7"/>
      <c r="AL67" s="6">
        <v>105057</v>
      </c>
      <c r="AM67" s="6" t="s">
        <v>150</v>
      </c>
    </row>
    <row r="68" spans="2:39" x14ac:dyDescent="0.2">
      <c r="B6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8" s="158" t="str">
        <f>+CONCATENATE(ZEUFI037[[#This Row],[Type]],"-",ZEUFI037[[#This Row],[G/L Account]])</f>
        <v>ZV-44110000</v>
      </c>
      <c r="D68" s="159" t="str">
        <f>+CONCATENATE(ZEUFI037[[#This Row],[Type]],"-",ZEUFI037[[#This Row],[TCode]],"-",ZEUFI037[[#This Row],[CoCd]],"-",ZEUFI037[[#This Row],[DocumentNo]])</f>
        <v>ZV-FB05-BT03-2000000209</v>
      </c>
      <c r="E68" s="6" t="s">
        <v>147</v>
      </c>
      <c r="F68" s="6" t="s">
        <v>102</v>
      </c>
      <c r="G68" s="6" t="s">
        <v>143</v>
      </c>
      <c r="H68" s="6" t="s">
        <v>104</v>
      </c>
      <c r="I68" s="6" t="s">
        <v>105</v>
      </c>
      <c r="J68" s="6" t="s">
        <v>106</v>
      </c>
      <c r="K68" s="6" t="s">
        <v>107</v>
      </c>
      <c r="L68" s="6">
        <v>2000000209</v>
      </c>
      <c r="M68" s="121">
        <v>45700</v>
      </c>
      <c r="N68" s="121">
        <v>45700</v>
      </c>
      <c r="O68" s="121">
        <v>45700</v>
      </c>
      <c r="P68" s="6"/>
      <c r="Q68" s="6"/>
      <c r="R68" s="160"/>
      <c r="S68" s="162">
        <v>5110.2700000000004</v>
      </c>
      <c r="T68" s="107">
        <v>0</v>
      </c>
      <c r="U68" s="6">
        <v>1</v>
      </c>
      <c r="V68" s="6">
        <v>25</v>
      </c>
      <c r="W68" s="160">
        <v>2</v>
      </c>
      <c r="X68" s="163">
        <v>44110000</v>
      </c>
      <c r="Y68" s="160" t="s">
        <v>109</v>
      </c>
      <c r="Z68" s="6">
        <v>5110.2700000000004</v>
      </c>
      <c r="AA68" s="6">
        <v>0</v>
      </c>
      <c r="AB68" s="6">
        <v>0</v>
      </c>
      <c r="AC68" s="6">
        <v>0</v>
      </c>
      <c r="AD68" s="6"/>
      <c r="AE68" s="6"/>
      <c r="AF68" s="6"/>
      <c r="AG68" s="6"/>
      <c r="AH68" s="6"/>
      <c r="AI68" s="6"/>
      <c r="AJ68" s="6"/>
      <c r="AK68" s="7"/>
      <c r="AL68" s="6">
        <v>102574</v>
      </c>
      <c r="AM68" s="6" t="s">
        <v>151</v>
      </c>
    </row>
    <row r="69" spans="2:39" x14ac:dyDescent="0.2">
      <c r="B6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9" s="158" t="str">
        <f>+CONCATENATE(ZEUFI037[[#This Row],[Type]],"-",ZEUFI037[[#This Row],[G/L Account]])</f>
        <v>ZV-34210000</v>
      </c>
      <c r="D69" s="159" t="str">
        <f>+CONCATENATE(ZEUFI037[[#This Row],[Type]],"-",ZEUFI037[[#This Row],[TCode]],"-",ZEUFI037[[#This Row],[CoCd]],"-",ZEUFI037[[#This Row],[DocumentNo]])</f>
        <v>ZV-FB05-BT03-2000000214</v>
      </c>
      <c r="E69" s="6" t="s">
        <v>147</v>
      </c>
      <c r="F69" s="6" t="s">
        <v>102</v>
      </c>
      <c r="G69" s="6" t="s">
        <v>143</v>
      </c>
      <c r="H69" s="6" t="s">
        <v>104</v>
      </c>
      <c r="I69" s="6" t="s">
        <v>105</v>
      </c>
      <c r="J69" s="6" t="s">
        <v>106</v>
      </c>
      <c r="K69" s="6" t="s">
        <v>107</v>
      </c>
      <c r="L69" s="6">
        <v>2000000214</v>
      </c>
      <c r="M69" s="121">
        <v>45705</v>
      </c>
      <c r="N69" s="121">
        <v>45705</v>
      </c>
      <c r="O69" s="121">
        <v>45705</v>
      </c>
      <c r="P69" s="6"/>
      <c r="Q69" s="6"/>
      <c r="R69" s="160"/>
      <c r="S69" s="162">
        <v>1337.83</v>
      </c>
      <c r="T69" s="107">
        <v>0</v>
      </c>
      <c r="U69" s="6">
        <v>2</v>
      </c>
      <c r="V69" s="6">
        <v>18</v>
      </c>
      <c r="W69" s="160">
        <v>1</v>
      </c>
      <c r="X69" s="163">
        <v>34210000</v>
      </c>
      <c r="Y69" s="160" t="s">
        <v>145</v>
      </c>
      <c r="Z69" s="6">
        <v>0</v>
      </c>
      <c r="AA69" s="6">
        <v>0</v>
      </c>
      <c r="AB69" s="6">
        <v>1337.83</v>
      </c>
      <c r="AC69" s="6">
        <v>0</v>
      </c>
      <c r="AD69" s="6"/>
      <c r="AE69" s="6"/>
      <c r="AF69" s="6"/>
      <c r="AG69" s="6"/>
      <c r="AH69" s="6"/>
      <c r="AI69" s="6"/>
      <c r="AJ69" s="6"/>
      <c r="AK69" s="7"/>
      <c r="AL69" s="6">
        <v>103348</v>
      </c>
      <c r="AM69" s="6" t="s">
        <v>152</v>
      </c>
    </row>
    <row r="70" spans="2:39" x14ac:dyDescent="0.2">
      <c r="B7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70" s="158" t="str">
        <f>+CONCATENATE(ZEUFI037[[#This Row],[Type]],"-",ZEUFI037[[#This Row],[G/L Account]])</f>
        <v>ZV-44110000</v>
      </c>
      <c r="D70" s="159" t="str">
        <f>+CONCATENATE(ZEUFI037[[#This Row],[Type]],"-",ZEUFI037[[#This Row],[TCode]],"-",ZEUFI037[[#This Row],[CoCd]],"-",ZEUFI037[[#This Row],[DocumentNo]])</f>
        <v>ZV-FB05-BT03-2000000214</v>
      </c>
      <c r="E70" s="6" t="s">
        <v>147</v>
      </c>
      <c r="F70" s="6" t="s">
        <v>102</v>
      </c>
      <c r="G70" s="6" t="s">
        <v>143</v>
      </c>
      <c r="H70" s="6" t="s">
        <v>104</v>
      </c>
      <c r="I70" s="6" t="s">
        <v>105</v>
      </c>
      <c r="J70" s="6" t="s">
        <v>106</v>
      </c>
      <c r="K70" s="6" t="s">
        <v>107</v>
      </c>
      <c r="L70" s="6">
        <v>2000000214</v>
      </c>
      <c r="M70" s="121">
        <v>45705</v>
      </c>
      <c r="N70" s="121">
        <v>45705</v>
      </c>
      <c r="O70" s="121">
        <v>45705</v>
      </c>
      <c r="P70" s="6"/>
      <c r="Q70" s="6"/>
      <c r="R70" s="160"/>
      <c r="S70" s="162">
        <v>1337.83</v>
      </c>
      <c r="T70" s="107">
        <v>0</v>
      </c>
      <c r="U70" s="6">
        <v>1</v>
      </c>
      <c r="V70" s="6">
        <v>25</v>
      </c>
      <c r="W70" s="160">
        <v>2</v>
      </c>
      <c r="X70" s="163">
        <v>44110000</v>
      </c>
      <c r="Y70" s="160" t="s">
        <v>109</v>
      </c>
      <c r="Z70" s="6">
        <v>1337.83</v>
      </c>
      <c r="AA70" s="6">
        <v>0</v>
      </c>
      <c r="AB70" s="6">
        <v>0</v>
      </c>
      <c r="AC70" s="6">
        <v>0</v>
      </c>
      <c r="AD70" s="6"/>
      <c r="AE70" s="6"/>
      <c r="AF70" s="6"/>
      <c r="AG70" s="6"/>
      <c r="AH70" s="6"/>
      <c r="AI70" s="6"/>
      <c r="AJ70" s="6"/>
      <c r="AK70" s="7"/>
      <c r="AL70" s="6">
        <v>101783</v>
      </c>
      <c r="AM70" s="6" t="s">
        <v>153</v>
      </c>
    </row>
    <row r="71" spans="2:39" x14ac:dyDescent="0.2">
      <c r="B7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Under Control</v>
      </c>
      <c r="C71" s="158" t="str">
        <f>+CONCATENATE(ZEUFI037[[#This Row],[Type]],"-",ZEUFI037[[#This Row],[G/L Account]])</f>
        <v>-</v>
      </c>
      <c r="D71" s="159" t="str">
        <f>+CONCATENATE(ZEUFI037[[#This Row],[Type]],"-",ZEUFI037[[#This Row],[TCode]],"-",ZEUFI037[[#This Row],[CoCd]],"-",ZEUFI037[[#This Row],[DocumentNo]])</f>
        <v>---</v>
      </c>
      <c r="E71" s="6"/>
      <c r="F71" s="6" t="s">
        <v>154</v>
      </c>
      <c r="G71" s="6"/>
      <c r="H71" s="6"/>
      <c r="I71" s="6"/>
      <c r="J71" s="6"/>
      <c r="K71" s="6"/>
      <c r="L71" s="6"/>
      <c r="M71" s="121"/>
      <c r="N71" s="121"/>
      <c r="O71" s="121"/>
      <c r="P71" s="6"/>
      <c r="Q71" s="6"/>
      <c r="R71" s="160"/>
      <c r="S71" s="162">
        <v>6062778.3799999999</v>
      </c>
      <c r="T71" s="107"/>
      <c r="U71" s="6"/>
      <c r="V71" s="6"/>
      <c r="W71" s="160"/>
      <c r="X71" s="163"/>
      <c r="Y71" s="160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7"/>
      <c r="AL71" s="6"/>
      <c r="AM71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26"/>
  <sheetViews>
    <sheetView showGridLines="0" workbookViewId="0">
      <pane ySplit="3" topLeftCell="A4" activePane="bottomLeft" state="frozen"/>
      <selection pane="bottomLeft" activeCell="C3" sqref="C3:C26"/>
    </sheetView>
  </sheetViews>
  <sheetFormatPr defaultColWidth="8.85546875" defaultRowHeight="12" x14ac:dyDescent="0.2"/>
  <cols>
    <col min="1" max="1" width="2.28515625" style="1" customWidth="1"/>
    <col min="2" max="2" width="13" style="1" customWidth="1"/>
    <col min="3" max="3" width="17" style="1" customWidth="1"/>
    <col min="4" max="4" width="16.7109375" style="1" customWidth="1"/>
    <col min="5" max="5" width="16.140625" style="1" customWidth="1"/>
    <col min="6" max="16384" width="8.85546875" style="1"/>
  </cols>
  <sheetData>
    <row r="1" spans="2:12" s="9" customFormat="1" ht="19.149999999999999" customHeight="1" x14ac:dyDescent="0.3">
      <c r="B1" s="145" t="s">
        <v>37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3" spans="2:12" x14ac:dyDescent="0.2">
      <c r="B3" s="111" t="s">
        <v>38</v>
      </c>
      <c r="C3" s="115" t="s">
        <v>22</v>
      </c>
      <c r="D3" s="111" t="s">
        <v>1</v>
      </c>
      <c r="E3" s="111" t="s">
        <v>39</v>
      </c>
    </row>
    <row r="4" spans="2:12" x14ac:dyDescent="0.2">
      <c r="B4" s="4">
        <v>4</v>
      </c>
      <c r="C4" s="116" t="s">
        <v>79</v>
      </c>
      <c r="D4" s="4" t="str">
        <f t="shared" ref="D4:D26" si="0">+CONCATENATE(B4,"-",C4)</f>
        <v>4-0034210000</v>
      </c>
      <c r="E4" s="4" t="str">
        <f>+Exclusions[[#Headers],[Under Control]]</f>
        <v>Under Control</v>
      </c>
    </row>
    <row r="5" spans="2:12" x14ac:dyDescent="0.2">
      <c r="B5" s="4">
        <v>4</v>
      </c>
      <c r="C5" s="116" t="s">
        <v>81</v>
      </c>
      <c r="D5" s="4" t="str">
        <f t="shared" si="0"/>
        <v>4-0034211000</v>
      </c>
      <c r="E5" s="4" t="str">
        <f>+Exclusions[[#Headers],[Under Control]]</f>
        <v>Under Control</v>
      </c>
    </row>
    <row r="6" spans="2:12" x14ac:dyDescent="0.2">
      <c r="B6" s="4">
        <v>4</v>
      </c>
      <c r="C6" s="116" t="s">
        <v>80</v>
      </c>
      <c r="D6" s="4" t="str">
        <f t="shared" si="0"/>
        <v>4-0034240000</v>
      </c>
      <c r="E6" s="4" t="str">
        <f>+Exclusions[[#Headers],[Under Control]]</f>
        <v>Under Control</v>
      </c>
    </row>
    <row r="7" spans="2:12" x14ac:dyDescent="0.2">
      <c r="B7" s="4">
        <v>4</v>
      </c>
      <c r="C7" s="116" t="s">
        <v>78</v>
      </c>
      <c r="D7" s="4" t="str">
        <f t="shared" si="0"/>
        <v>4-0034880000</v>
      </c>
      <c r="E7" s="4" t="str">
        <f>+Exclusions[[#Headers],[Under Control]]</f>
        <v>Under Control</v>
      </c>
    </row>
    <row r="8" spans="2:12" x14ac:dyDescent="0.2">
      <c r="B8" s="4">
        <v>4</v>
      </c>
      <c r="C8" s="116" t="s">
        <v>82</v>
      </c>
      <c r="D8" s="4" t="str">
        <f t="shared" si="0"/>
        <v>4-0044210000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6" t="s">
        <v>83</v>
      </c>
      <c r="D9" s="4" t="str">
        <f t="shared" si="0"/>
        <v>AB-0034110000</v>
      </c>
      <c r="E9" s="4" t="str">
        <f>+Exclusions[[#Headers],[Under Control]]</f>
        <v>Under Control</v>
      </c>
    </row>
    <row r="10" spans="2:12" x14ac:dyDescent="0.2">
      <c r="B10" s="4" t="s">
        <v>64</v>
      </c>
      <c r="C10" s="116" t="s">
        <v>79</v>
      </c>
      <c r="D10" s="4" t="str">
        <f t="shared" si="0"/>
        <v>AB-0034210000</v>
      </c>
      <c r="E10" s="4" t="str">
        <f>+Exclusions[[#Headers],[Under Control]]</f>
        <v>Under Control</v>
      </c>
    </row>
    <row r="11" spans="2:12" x14ac:dyDescent="0.2">
      <c r="B11" s="4" t="s">
        <v>64</v>
      </c>
      <c r="C11" s="116" t="s">
        <v>77</v>
      </c>
      <c r="D11" s="4" t="str">
        <f t="shared" si="0"/>
        <v>AB-0044110000</v>
      </c>
      <c r="E11" s="4" t="str">
        <f>+Exclusions[[#Headers],[Under Control]]</f>
        <v>Under Control</v>
      </c>
    </row>
    <row r="12" spans="2:12" x14ac:dyDescent="0.2">
      <c r="B12" s="4" t="s">
        <v>64</v>
      </c>
      <c r="C12" s="116" t="s">
        <v>84</v>
      </c>
      <c r="D12" s="4" t="str">
        <f t="shared" si="0"/>
        <v>AB-0044150000</v>
      </c>
      <c r="E12" s="4" t="str">
        <f>+Exclusions[[#Headers],[Under Control]]</f>
        <v>Under Control</v>
      </c>
    </row>
    <row r="13" spans="2:12" x14ac:dyDescent="0.2">
      <c r="B13" s="4" t="s">
        <v>64</v>
      </c>
      <c r="C13" s="116" t="s">
        <v>85</v>
      </c>
      <c r="D13" s="4" t="str">
        <f t="shared" si="0"/>
        <v>AB-0044151000</v>
      </c>
      <c r="E13" s="4" t="str">
        <f>+Exclusions[[#Headers],[Under Control]]</f>
        <v>Under Control</v>
      </c>
    </row>
    <row r="14" spans="2:12" x14ac:dyDescent="0.2">
      <c r="B14" s="4" t="s">
        <v>64</v>
      </c>
      <c r="C14" s="116" t="s">
        <v>86</v>
      </c>
      <c r="D14" s="4" t="str">
        <f t="shared" si="0"/>
        <v>AB-0051410409</v>
      </c>
      <c r="E14" s="4" t="str">
        <f>+Exclusions[[#Headers],[Under Control]]</f>
        <v>Under Control</v>
      </c>
    </row>
    <row r="15" spans="2:12" x14ac:dyDescent="0.2">
      <c r="B15" s="4" t="s">
        <v>64</v>
      </c>
      <c r="C15" s="116" t="s">
        <v>87</v>
      </c>
      <c r="D15" s="4" t="str">
        <f t="shared" si="0"/>
        <v>AB-0051411002</v>
      </c>
      <c r="E15" s="4" t="str">
        <f>+Exclusions[[#Headers],[Under Control]]</f>
        <v>Under Control</v>
      </c>
    </row>
    <row r="16" spans="2:12" x14ac:dyDescent="0.2">
      <c r="B16" s="4" t="s">
        <v>64</v>
      </c>
      <c r="C16" s="116" t="s">
        <v>88</v>
      </c>
      <c r="D16" s="4" t="str">
        <f t="shared" si="0"/>
        <v>AB-0051411003</v>
      </c>
      <c r="E16" s="4" t="str">
        <f>+Exclusions[[#Headers],[Under Control]]</f>
        <v>Under Control</v>
      </c>
    </row>
    <row r="17" spans="2:5" x14ac:dyDescent="0.2">
      <c r="B17" s="4" t="s">
        <v>64</v>
      </c>
      <c r="C17" s="117" t="s">
        <v>96</v>
      </c>
      <c r="D17" s="4" t="str">
        <f t="shared" si="0"/>
        <v>AB-0051411009</v>
      </c>
      <c r="E17" s="4" t="str">
        <f>+Exclusions[[#Headers],[Under Control]]</f>
        <v>Under Control</v>
      </c>
    </row>
    <row r="18" spans="2:5" x14ac:dyDescent="0.2">
      <c r="B18" s="4" t="s">
        <v>64</v>
      </c>
      <c r="C18" s="116" t="s">
        <v>89</v>
      </c>
      <c r="D18" s="4" t="str">
        <f t="shared" si="0"/>
        <v>AB-0051412009</v>
      </c>
      <c r="E18" s="4" t="str">
        <f>+Exclusions[[#Headers],[Under Control]]</f>
        <v>Under Control</v>
      </c>
    </row>
    <row r="19" spans="2:5" x14ac:dyDescent="0.2">
      <c r="B19" s="4" t="s">
        <v>64</v>
      </c>
      <c r="C19" s="116" t="s">
        <v>90</v>
      </c>
      <c r="D19" s="4" t="str">
        <f t="shared" si="0"/>
        <v>AB-0051412019</v>
      </c>
      <c r="E19" s="4" t="str">
        <f>+Exclusions[[#Headers],[Under Control]]</f>
        <v>Under Control</v>
      </c>
    </row>
    <row r="20" spans="2:5" x14ac:dyDescent="0.2">
      <c r="B20" s="4" t="s">
        <v>64</v>
      </c>
      <c r="C20" s="116" t="s">
        <v>76</v>
      </c>
      <c r="D20" s="4" t="str">
        <f t="shared" si="0"/>
        <v>AB-0051414002</v>
      </c>
      <c r="E20" s="4" t="str">
        <f>+Exclusions[[#Headers],[Under Control]]</f>
        <v>Under Control</v>
      </c>
    </row>
    <row r="21" spans="2:5" x14ac:dyDescent="0.2">
      <c r="B21" s="4" t="s">
        <v>64</v>
      </c>
      <c r="C21" s="116" t="s">
        <v>91</v>
      </c>
      <c r="D21" s="4" t="str">
        <f t="shared" si="0"/>
        <v>AB-0051414003</v>
      </c>
      <c r="E21" s="4" t="str">
        <f>+Exclusions[[#Headers],[Under Control]]</f>
        <v>Under Control</v>
      </c>
    </row>
    <row r="22" spans="2:5" x14ac:dyDescent="0.2">
      <c r="B22" s="4" t="s">
        <v>64</v>
      </c>
      <c r="C22" s="117" t="s">
        <v>75</v>
      </c>
      <c r="D22" s="4" t="str">
        <f t="shared" si="0"/>
        <v>AB-0051414009</v>
      </c>
      <c r="E22" s="4" t="str">
        <f>+Exclusions[[#Headers],[Under Control]]</f>
        <v>Under Control</v>
      </c>
    </row>
    <row r="23" spans="2:5" x14ac:dyDescent="0.2">
      <c r="B23" s="4" t="s">
        <v>64</v>
      </c>
      <c r="C23" s="116" t="s">
        <v>92</v>
      </c>
      <c r="D23" s="4" t="str">
        <f t="shared" si="0"/>
        <v>AB-0090199999</v>
      </c>
      <c r="E23" s="4" t="str">
        <f>+Exclusions[[#Headers],[Under Control]]</f>
        <v>Under Control</v>
      </c>
    </row>
    <row r="24" spans="2:5" x14ac:dyDescent="0.2">
      <c r="B24" s="4" t="s">
        <v>64</v>
      </c>
      <c r="C24" s="116" t="s">
        <v>93</v>
      </c>
      <c r="D24" s="4" t="str">
        <f t="shared" si="0"/>
        <v>AB-0090299999</v>
      </c>
      <c r="E24" s="4" t="str">
        <f>+Exclusions[[#Headers],[Under Control]]</f>
        <v>Under Control</v>
      </c>
    </row>
    <row r="25" spans="2:5" x14ac:dyDescent="0.2">
      <c r="B25" s="4" t="s">
        <v>64</v>
      </c>
      <c r="C25" s="116" t="s">
        <v>94</v>
      </c>
      <c r="D25" s="4" t="str">
        <f t="shared" si="0"/>
        <v>AB-0090599999</v>
      </c>
      <c r="E25" s="4" t="str">
        <f>+Exclusions[[#Headers],[Under Control]]</f>
        <v>Under Control</v>
      </c>
    </row>
    <row r="26" spans="2:5" x14ac:dyDescent="0.2">
      <c r="B26" s="4" t="s">
        <v>64</v>
      </c>
      <c r="C26" s="116" t="s">
        <v>95</v>
      </c>
      <c r="D26" s="4" t="str">
        <f t="shared" si="0"/>
        <v>AB-0090699999</v>
      </c>
      <c r="E26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72"/>
  <sheetViews>
    <sheetView showGridLines="0" topLeftCell="D1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7.42578125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8" width="10.7109375" style="1" bestFit="1" customWidth="1"/>
    <col min="9" max="9" width="15.4257812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9" bestFit="1" customWidth="1"/>
    <col min="14" max="14" width="13.7109375" style="119" bestFit="1" customWidth="1"/>
    <col min="15" max="15" width="14.28515625" style="119" bestFit="1" customWidth="1"/>
    <col min="16" max="16" width="19.140625" style="1" bestFit="1" customWidth="1"/>
    <col min="17" max="17" width="14.7109375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17.285156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17.140625" style="1" bestFit="1" customWidth="1"/>
    <col min="36" max="36" width="17.42578125" style="1" bestFit="1" customWidth="1"/>
    <col min="37" max="37" width="15.28515625" style="1" bestFit="1" customWidth="1"/>
    <col min="38" max="38" width="12.42578125" style="1" bestFit="1" customWidth="1"/>
    <col min="39" max="39" width="40.7109375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22"/>
      <c r="N1" s="122"/>
      <c r="O1" s="122"/>
    </row>
    <row r="2" spans="2:39" x14ac:dyDescent="0.2">
      <c r="B2" s="102"/>
    </row>
    <row r="3" spans="2:39" x14ac:dyDescent="0.2">
      <c r="S3" s="29">
        <f>+SUM(Clearings[[#All],[Total Deb./Cred.]])</f>
        <v>12125556.760000002</v>
      </c>
      <c r="Z3" s="29">
        <f>+SUM(Clearings[[#All],[   Debit amount]])</f>
        <v>1824231.0300000003</v>
      </c>
      <c r="AB3" s="29">
        <f>+SUM(Clearings[[#All],[   Debit amount]])</f>
        <v>1824231.0300000003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3" t="s">
        <v>11</v>
      </c>
      <c r="N5" s="123" t="s">
        <v>12</v>
      </c>
      <c r="O5" s="123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165" t="s">
        <v>155</v>
      </c>
      <c r="C6" s="4" t="s">
        <v>156</v>
      </c>
      <c r="D6" s="4" t="s">
        <v>157</v>
      </c>
      <c r="E6" s="4" t="s">
        <v>101</v>
      </c>
      <c r="F6" s="4" t="s">
        <v>102</v>
      </c>
      <c r="G6" s="4" t="s">
        <v>103</v>
      </c>
      <c r="H6" s="4" t="s">
        <v>104</v>
      </c>
      <c r="I6" s="1" t="s">
        <v>105</v>
      </c>
      <c r="J6" s="4" t="s">
        <v>106</v>
      </c>
      <c r="K6" s="1" t="s">
        <v>107</v>
      </c>
      <c r="L6" s="165" t="s">
        <v>158</v>
      </c>
      <c r="M6" s="124">
        <v>45692</v>
      </c>
      <c r="N6" s="124">
        <v>45692</v>
      </c>
      <c r="O6" s="124">
        <v>45692</v>
      </c>
      <c r="P6" s="1" t="s">
        <v>108</v>
      </c>
      <c r="Q6" s="1" t="s">
        <v>108</v>
      </c>
      <c r="S6" s="166">
        <v>26994.14</v>
      </c>
      <c r="T6" s="20">
        <v>0</v>
      </c>
      <c r="U6" s="4">
        <v>1</v>
      </c>
      <c r="V6" s="4">
        <v>25</v>
      </c>
      <c r="W6" s="4">
        <v>2</v>
      </c>
      <c r="X6" s="4">
        <v>44110000</v>
      </c>
      <c r="Y6" s="1" t="s">
        <v>109</v>
      </c>
      <c r="Z6" s="8">
        <v>26994.14</v>
      </c>
      <c r="AA6" s="8">
        <v>0</v>
      </c>
      <c r="AB6" s="8">
        <v>0</v>
      </c>
      <c r="AC6" s="8">
        <v>0</v>
      </c>
      <c r="AL6">
        <v>102414</v>
      </c>
      <c r="AM6" t="s">
        <v>110</v>
      </c>
    </row>
    <row r="7" spans="2:39" ht="15" x14ac:dyDescent="0.25">
      <c r="B7" s="165" t="s">
        <v>155</v>
      </c>
      <c r="C7" s="4" t="s">
        <v>159</v>
      </c>
      <c r="D7" s="4" t="s">
        <v>157</v>
      </c>
      <c r="E7" s="4" t="s">
        <v>101</v>
      </c>
      <c r="F7" s="4" t="s">
        <v>102</v>
      </c>
      <c r="G7" s="4" t="s">
        <v>103</v>
      </c>
      <c r="H7" s="4" t="s">
        <v>104</v>
      </c>
      <c r="I7" s="1" t="s">
        <v>105</v>
      </c>
      <c r="J7" s="4" t="s">
        <v>106</v>
      </c>
      <c r="K7" s="1" t="s">
        <v>107</v>
      </c>
      <c r="L7" s="165" t="s">
        <v>158</v>
      </c>
      <c r="M7" s="124">
        <v>45692</v>
      </c>
      <c r="N7" s="124">
        <v>45692</v>
      </c>
      <c r="O7" s="124">
        <v>45692</v>
      </c>
      <c r="P7" s="1" t="s">
        <v>108</v>
      </c>
      <c r="Q7" s="1" t="s">
        <v>108</v>
      </c>
      <c r="S7" s="166">
        <v>26994.14</v>
      </c>
      <c r="T7" s="20">
        <v>0</v>
      </c>
      <c r="U7" s="4">
        <v>2</v>
      </c>
      <c r="V7" s="4">
        <v>18</v>
      </c>
      <c r="W7" s="4">
        <v>1</v>
      </c>
      <c r="X7" s="4">
        <v>34880000</v>
      </c>
      <c r="Y7" s="1" t="s">
        <v>111</v>
      </c>
      <c r="Z7" s="8">
        <v>0</v>
      </c>
      <c r="AA7" s="8">
        <v>0</v>
      </c>
      <c r="AB7" s="8">
        <v>26994.14</v>
      </c>
      <c r="AC7" s="8">
        <v>0</v>
      </c>
      <c r="AD7" s="1" t="s">
        <v>108</v>
      </c>
      <c r="AL7">
        <v>105091</v>
      </c>
      <c r="AM7" t="s">
        <v>110</v>
      </c>
    </row>
    <row r="8" spans="2:39" ht="15" x14ac:dyDescent="0.25">
      <c r="B8" s="165" t="s">
        <v>155</v>
      </c>
      <c r="C8" s="4" t="s">
        <v>156</v>
      </c>
      <c r="D8" s="4" t="s">
        <v>160</v>
      </c>
      <c r="E8" s="4" t="s">
        <v>101</v>
      </c>
      <c r="F8" s="4" t="s">
        <v>102</v>
      </c>
      <c r="G8" s="4" t="s">
        <v>103</v>
      </c>
      <c r="H8" s="4" t="s">
        <v>104</v>
      </c>
      <c r="I8" s="1" t="s">
        <v>105</v>
      </c>
      <c r="J8" s="4" t="s">
        <v>106</v>
      </c>
      <c r="K8" s="1" t="s">
        <v>107</v>
      </c>
      <c r="L8" s="165" t="s">
        <v>161</v>
      </c>
      <c r="M8" s="124">
        <v>45694</v>
      </c>
      <c r="N8" s="124">
        <v>45694</v>
      </c>
      <c r="O8" s="124">
        <v>45694</v>
      </c>
      <c r="P8" s="1" t="s">
        <v>108</v>
      </c>
      <c r="Q8" s="1" t="s">
        <v>108</v>
      </c>
      <c r="S8" s="166">
        <v>19886.27</v>
      </c>
      <c r="T8" s="20">
        <v>0</v>
      </c>
      <c r="U8" s="4">
        <v>1</v>
      </c>
      <c r="V8" s="4">
        <v>25</v>
      </c>
      <c r="W8" s="4">
        <v>2</v>
      </c>
      <c r="X8" s="4">
        <v>44110000</v>
      </c>
      <c r="Y8" s="1" t="s">
        <v>109</v>
      </c>
      <c r="Z8" s="8">
        <v>19886.27</v>
      </c>
      <c r="AA8" s="8">
        <v>0</v>
      </c>
      <c r="AB8" s="8">
        <v>0</v>
      </c>
      <c r="AC8" s="8">
        <v>0</v>
      </c>
      <c r="AL8">
        <v>102498</v>
      </c>
      <c r="AM8" t="s">
        <v>112</v>
      </c>
    </row>
    <row r="9" spans="2:39" ht="15" x14ac:dyDescent="0.25">
      <c r="B9" s="165" t="s">
        <v>155</v>
      </c>
      <c r="C9" s="4" t="s">
        <v>159</v>
      </c>
      <c r="D9" s="4" t="s">
        <v>160</v>
      </c>
      <c r="E9" s="4" t="s">
        <v>101</v>
      </c>
      <c r="F9" s="4" t="s">
        <v>102</v>
      </c>
      <c r="G9" s="4" t="s">
        <v>103</v>
      </c>
      <c r="H9" s="4" t="s">
        <v>104</v>
      </c>
      <c r="I9" s="1" t="s">
        <v>105</v>
      </c>
      <c r="J9" s="4" t="s">
        <v>106</v>
      </c>
      <c r="K9" s="1" t="s">
        <v>107</v>
      </c>
      <c r="L9" s="165" t="s">
        <v>161</v>
      </c>
      <c r="M9" s="124">
        <v>45694</v>
      </c>
      <c r="N9" s="124">
        <v>45694</v>
      </c>
      <c r="O9" s="124">
        <v>45694</v>
      </c>
      <c r="P9" s="1" t="s">
        <v>108</v>
      </c>
      <c r="Q9" s="1" t="s">
        <v>108</v>
      </c>
      <c r="S9" s="166">
        <v>19886.27</v>
      </c>
      <c r="T9" s="20">
        <v>0</v>
      </c>
      <c r="U9" s="4">
        <v>2</v>
      </c>
      <c r="V9" s="4">
        <v>18</v>
      </c>
      <c r="W9" s="4">
        <v>1</v>
      </c>
      <c r="X9" s="4">
        <v>34880000</v>
      </c>
      <c r="Y9" s="1" t="s">
        <v>111</v>
      </c>
      <c r="Z9" s="8">
        <v>0</v>
      </c>
      <c r="AA9" s="8">
        <v>0</v>
      </c>
      <c r="AB9" s="8">
        <v>19886.27</v>
      </c>
      <c r="AC9" s="8">
        <v>0</v>
      </c>
      <c r="AD9" s="1" t="s">
        <v>108</v>
      </c>
      <c r="AL9">
        <v>104900</v>
      </c>
      <c r="AM9" t="s">
        <v>112</v>
      </c>
    </row>
    <row r="10" spans="2:39" ht="15" x14ac:dyDescent="0.25">
      <c r="B10" s="165" t="s">
        <v>155</v>
      </c>
      <c r="C10" s="4" t="s">
        <v>156</v>
      </c>
      <c r="D10" s="4" t="s">
        <v>162</v>
      </c>
      <c r="E10" s="4" t="s">
        <v>101</v>
      </c>
      <c r="F10" s="4" t="s">
        <v>102</v>
      </c>
      <c r="G10" s="4" t="s">
        <v>103</v>
      </c>
      <c r="H10" s="4" t="s">
        <v>104</v>
      </c>
      <c r="I10" s="1" t="s">
        <v>105</v>
      </c>
      <c r="J10" s="4" t="s">
        <v>106</v>
      </c>
      <c r="K10" s="1" t="s">
        <v>107</v>
      </c>
      <c r="L10" s="165" t="s">
        <v>163</v>
      </c>
      <c r="M10" s="124">
        <v>45694</v>
      </c>
      <c r="N10" s="124">
        <v>45694</v>
      </c>
      <c r="O10" s="124">
        <v>45694</v>
      </c>
      <c r="P10" s="1" t="s">
        <v>108</v>
      </c>
      <c r="Q10" s="1" t="s">
        <v>108</v>
      </c>
      <c r="S10" s="166">
        <v>13101.84</v>
      </c>
      <c r="T10" s="20">
        <v>0</v>
      </c>
      <c r="U10" s="4">
        <v>1</v>
      </c>
      <c r="V10" s="4">
        <v>25</v>
      </c>
      <c r="W10" s="4">
        <v>2</v>
      </c>
      <c r="X10" s="4">
        <v>44110000</v>
      </c>
      <c r="Y10" s="1" t="s">
        <v>109</v>
      </c>
      <c r="Z10" s="8">
        <v>13101.84</v>
      </c>
      <c r="AA10" s="8">
        <v>0</v>
      </c>
      <c r="AB10" s="8">
        <v>0</v>
      </c>
      <c r="AC10" s="8">
        <v>0</v>
      </c>
      <c r="AL10">
        <v>102191</v>
      </c>
      <c r="AM10" t="s">
        <v>113</v>
      </c>
    </row>
    <row r="11" spans="2:39" ht="15" x14ac:dyDescent="0.25">
      <c r="B11" s="165" t="s">
        <v>155</v>
      </c>
      <c r="C11" s="4" t="s">
        <v>159</v>
      </c>
      <c r="D11" s="4" t="s">
        <v>162</v>
      </c>
      <c r="E11" s="4" t="s">
        <v>101</v>
      </c>
      <c r="F11" s="4" t="s">
        <v>102</v>
      </c>
      <c r="G11" s="4" t="s">
        <v>103</v>
      </c>
      <c r="H11" s="4" t="s">
        <v>104</v>
      </c>
      <c r="I11" s="1" t="s">
        <v>105</v>
      </c>
      <c r="J11" s="4" t="s">
        <v>106</v>
      </c>
      <c r="K11" s="1" t="s">
        <v>107</v>
      </c>
      <c r="L11" s="165" t="s">
        <v>163</v>
      </c>
      <c r="M11" s="124">
        <v>45694</v>
      </c>
      <c r="N11" s="124">
        <v>45694</v>
      </c>
      <c r="O11" s="124">
        <v>45694</v>
      </c>
      <c r="P11" s="1" t="s">
        <v>108</v>
      </c>
      <c r="Q11" s="1" t="s">
        <v>108</v>
      </c>
      <c r="S11" s="166">
        <v>13101.84</v>
      </c>
      <c r="T11" s="20">
        <v>0</v>
      </c>
      <c r="U11" s="4">
        <v>2</v>
      </c>
      <c r="V11" s="4">
        <v>18</v>
      </c>
      <c r="W11" s="4">
        <v>1</v>
      </c>
      <c r="X11" s="4">
        <v>34880000</v>
      </c>
      <c r="Y11" s="1" t="s">
        <v>111</v>
      </c>
      <c r="Z11" s="8">
        <v>0</v>
      </c>
      <c r="AA11" s="8">
        <v>0</v>
      </c>
      <c r="AB11" s="8">
        <v>13101.84</v>
      </c>
      <c r="AC11" s="8">
        <v>0</v>
      </c>
      <c r="AD11" s="1" t="s">
        <v>108</v>
      </c>
      <c r="AL11">
        <v>104309</v>
      </c>
      <c r="AM11" t="s">
        <v>113</v>
      </c>
    </row>
    <row r="12" spans="2:39" ht="15" x14ac:dyDescent="0.25">
      <c r="B12" s="165" t="s">
        <v>155</v>
      </c>
      <c r="C12" s="4" t="s">
        <v>156</v>
      </c>
      <c r="D12" s="4" t="s">
        <v>164</v>
      </c>
      <c r="E12" s="4" t="s">
        <v>101</v>
      </c>
      <c r="F12" s="4" t="s">
        <v>102</v>
      </c>
      <c r="G12" s="4" t="s">
        <v>103</v>
      </c>
      <c r="H12" s="4" t="s">
        <v>104</v>
      </c>
      <c r="I12" s="1" t="s">
        <v>105</v>
      </c>
      <c r="J12" s="4" t="s">
        <v>106</v>
      </c>
      <c r="K12" s="1" t="s">
        <v>107</v>
      </c>
      <c r="L12" s="165" t="s">
        <v>165</v>
      </c>
      <c r="M12" s="124">
        <v>45698</v>
      </c>
      <c r="N12" s="124">
        <v>45698</v>
      </c>
      <c r="O12" s="124">
        <v>45698</v>
      </c>
      <c r="P12" s="1" t="s">
        <v>108</v>
      </c>
      <c r="Q12" s="1" t="s">
        <v>108</v>
      </c>
      <c r="S12" s="166">
        <v>23002.98</v>
      </c>
      <c r="T12" s="20">
        <v>0</v>
      </c>
      <c r="U12" s="4">
        <v>1</v>
      </c>
      <c r="V12" s="4">
        <v>25</v>
      </c>
      <c r="W12" s="4">
        <v>2</v>
      </c>
      <c r="X12" s="4">
        <v>44110000</v>
      </c>
      <c r="Y12" s="1" t="s">
        <v>109</v>
      </c>
      <c r="Z12" s="8">
        <v>23002.98</v>
      </c>
      <c r="AA12" s="8">
        <v>0</v>
      </c>
      <c r="AB12" s="8">
        <v>0</v>
      </c>
      <c r="AC12" s="8">
        <v>0</v>
      </c>
      <c r="AL12">
        <v>102630</v>
      </c>
      <c r="AM12" t="s">
        <v>114</v>
      </c>
    </row>
    <row r="13" spans="2:39" ht="15" x14ac:dyDescent="0.25">
      <c r="B13" s="165" t="s">
        <v>155</v>
      </c>
      <c r="C13" s="4" t="s">
        <v>159</v>
      </c>
      <c r="D13" s="4" t="s">
        <v>164</v>
      </c>
      <c r="E13" s="4" t="s">
        <v>101</v>
      </c>
      <c r="F13" s="4" t="s">
        <v>102</v>
      </c>
      <c r="G13" s="4" t="s">
        <v>103</v>
      </c>
      <c r="H13" s="4" t="s">
        <v>104</v>
      </c>
      <c r="I13" s="1" t="s">
        <v>105</v>
      </c>
      <c r="J13" s="4" t="s">
        <v>106</v>
      </c>
      <c r="K13" s="1" t="s">
        <v>107</v>
      </c>
      <c r="L13" s="165" t="s">
        <v>165</v>
      </c>
      <c r="M13" s="124">
        <v>45698</v>
      </c>
      <c r="N13" s="124">
        <v>45698</v>
      </c>
      <c r="O13" s="124">
        <v>45698</v>
      </c>
      <c r="P13" s="1" t="s">
        <v>108</v>
      </c>
      <c r="Q13" s="1" t="s">
        <v>108</v>
      </c>
      <c r="S13" s="166">
        <v>23002.98</v>
      </c>
      <c r="T13" s="20">
        <v>0</v>
      </c>
      <c r="U13" s="4">
        <v>2</v>
      </c>
      <c r="V13" s="4">
        <v>18</v>
      </c>
      <c r="W13" s="4">
        <v>1</v>
      </c>
      <c r="X13" s="4">
        <v>34880000</v>
      </c>
      <c r="Y13" s="1" t="s">
        <v>111</v>
      </c>
      <c r="Z13" s="8">
        <v>0</v>
      </c>
      <c r="AA13" s="8">
        <v>0</v>
      </c>
      <c r="AB13" s="8">
        <v>23002.98</v>
      </c>
      <c r="AC13" s="8">
        <v>0</v>
      </c>
      <c r="AD13" s="1" t="s">
        <v>108</v>
      </c>
      <c r="AL13">
        <v>105140</v>
      </c>
      <c r="AM13" t="s">
        <v>115</v>
      </c>
    </row>
    <row r="14" spans="2:39" ht="15" x14ac:dyDescent="0.25">
      <c r="B14" s="165" t="s">
        <v>155</v>
      </c>
      <c r="C14" s="4" t="s">
        <v>156</v>
      </c>
      <c r="D14" s="4" t="s">
        <v>166</v>
      </c>
      <c r="E14" s="4" t="s">
        <v>101</v>
      </c>
      <c r="F14" s="4" t="s">
        <v>102</v>
      </c>
      <c r="G14" s="4" t="s">
        <v>103</v>
      </c>
      <c r="H14" s="4" t="s">
        <v>104</v>
      </c>
      <c r="I14" s="1" t="s">
        <v>105</v>
      </c>
      <c r="J14" s="4" t="s">
        <v>106</v>
      </c>
      <c r="K14" s="1" t="s">
        <v>107</v>
      </c>
      <c r="L14" s="165" t="s">
        <v>167</v>
      </c>
      <c r="M14" s="124">
        <v>45699</v>
      </c>
      <c r="N14" s="124">
        <v>45699</v>
      </c>
      <c r="O14" s="124">
        <v>45699</v>
      </c>
      <c r="P14" s="1" t="s">
        <v>108</v>
      </c>
      <c r="Q14" s="1" t="s">
        <v>108</v>
      </c>
      <c r="S14" s="166">
        <v>3207.17</v>
      </c>
      <c r="T14" s="20">
        <v>0</v>
      </c>
      <c r="U14" s="4">
        <v>1</v>
      </c>
      <c r="V14" s="4">
        <v>25</v>
      </c>
      <c r="W14" s="4">
        <v>2</v>
      </c>
      <c r="X14" s="4">
        <v>44110000</v>
      </c>
      <c r="Y14" s="1" t="s">
        <v>109</v>
      </c>
      <c r="Z14" s="8">
        <v>3207.17</v>
      </c>
      <c r="AA14" s="8">
        <v>0</v>
      </c>
      <c r="AB14" s="8">
        <v>0</v>
      </c>
      <c r="AC14" s="8">
        <v>0</v>
      </c>
      <c r="AL14">
        <v>101787</v>
      </c>
      <c r="AM14" t="s">
        <v>116</v>
      </c>
    </row>
    <row r="15" spans="2:39" ht="15" x14ac:dyDescent="0.25">
      <c r="B15" s="165" t="s">
        <v>155</v>
      </c>
      <c r="C15" s="4" t="s">
        <v>159</v>
      </c>
      <c r="D15" s="4" t="s">
        <v>166</v>
      </c>
      <c r="E15" s="4" t="s">
        <v>101</v>
      </c>
      <c r="F15" s="4" t="s">
        <v>102</v>
      </c>
      <c r="G15" s="4" t="s">
        <v>103</v>
      </c>
      <c r="H15" s="4" t="s">
        <v>104</v>
      </c>
      <c r="I15" s="1" t="s">
        <v>105</v>
      </c>
      <c r="J15" s="4" t="s">
        <v>106</v>
      </c>
      <c r="K15" s="1" t="s">
        <v>107</v>
      </c>
      <c r="L15" s="165" t="s">
        <v>167</v>
      </c>
      <c r="M15" s="124">
        <v>45699</v>
      </c>
      <c r="N15" s="124">
        <v>45699</v>
      </c>
      <c r="O15" s="124">
        <v>45699</v>
      </c>
      <c r="P15" s="1" t="s">
        <v>108</v>
      </c>
      <c r="Q15" s="1" t="s">
        <v>108</v>
      </c>
      <c r="S15" s="166">
        <v>3207.17</v>
      </c>
      <c r="T15" s="20">
        <v>0</v>
      </c>
      <c r="U15" s="4">
        <v>2</v>
      </c>
      <c r="V15" s="4">
        <v>18</v>
      </c>
      <c r="W15" s="4">
        <v>1</v>
      </c>
      <c r="X15" s="4">
        <v>34880000</v>
      </c>
      <c r="Y15" s="1" t="s">
        <v>111</v>
      </c>
      <c r="Z15" s="8">
        <v>0</v>
      </c>
      <c r="AA15" s="8">
        <v>0</v>
      </c>
      <c r="AB15" s="8">
        <v>3207.17</v>
      </c>
      <c r="AC15" s="8">
        <v>0</v>
      </c>
      <c r="AD15" s="1" t="s">
        <v>108</v>
      </c>
      <c r="AL15">
        <v>103359</v>
      </c>
      <c r="AM15" t="s">
        <v>117</v>
      </c>
    </row>
    <row r="16" spans="2:39" ht="15" x14ac:dyDescent="0.25">
      <c r="B16" s="165" t="s">
        <v>155</v>
      </c>
      <c r="C16" s="4" t="s">
        <v>156</v>
      </c>
      <c r="D16" s="4" t="s">
        <v>168</v>
      </c>
      <c r="E16" s="4" t="s">
        <v>101</v>
      </c>
      <c r="F16" s="4" t="s">
        <v>102</v>
      </c>
      <c r="G16" s="4" t="s">
        <v>103</v>
      </c>
      <c r="H16" s="4" t="s">
        <v>104</v>
      </c>
      <c r="I16" s="1" t="s">
        <v>105</v>
      </c>
      <c r="J16" s="4" t="s">
        <v>106</v>
      </c>
      <c r="K16" s="1" t="s">
        <v>107</v>
      </c>
      <c r="L16" s="165" t="s">
        <v>169</v>
      </c>
      <c r="M16" s="124">
        <v>45699</v>
      </c>
      <c r="N16" s="124">
        <v>45699</v>
      </c>
      <c r="O16" s="124">
        <v>45699</v>
      </c>
      <c r="P16" s="1" t="s">
        <v>108</v>
      </c>
      <c r="Q16" s="1" t="s">
        <v>108</v>
      </c>
      <c r="S16" s="166">
        <v>1199.78</v>
      </c>
      <c r="T16" s="20">
        <v>0</v>
      </c>
      <c r="U16" s="4">
        <v>1</v>
      </c>
      <c r="V16" s="4">
        <v>25</v>
      </c>
      <c r="W16" s="4">
        <v>2</v>
      </c>
      <c r="X16" s="4">
        <v>44110000</v>
      </c>
      <c r="Y16" s="1" t="s">
        <v>109</v>
      </c>
      <c r="Z16" s="8">
        <v>1199.78</v>
      </c>
      <c r="AA16" s="8">
        <v>0</v>
      </c>
      <c r="AB16" s="8">
        <v>0</v>
      </c>
      <c r="AC16" s="8">
        <v>0</v>
      </c>
      <c r="AL16">
        <v>101787</v>
      </c>
      <c r="AM16" t="s">
        <v>116</v>
      </c>
    </row>
    <row r="17" spans="2:39" ht="15" x14ac:dyDescent="0.25">
      <c r="B17" s="165" t="s">
        <v>155</v>
      </c>
      <c r="C17" s="4" t="s">
        <v>159</v>
      </c>
      <c r="D17" s="4" t="s">
        <v>168</v>
      </c>
      <c r="E17" s="4" t="s">
        <v>101</v>
      </c>
      <c r="F17" s="4" t="s">
        <v>102</v>
      </c>
      <c r="G17" s="4" t="s">
        <v>103</v>
      </c>
      <c r="H17" s="4" t="s">
        <v>104</v>
      </c>
      <c r="I17" s="1" t="s">
        <v>105</v>
      </c>
      <c r="J17" s="4" t="s">
        <v>106</v>
      </c>
      <c r="K17" s="1" t="s">
        <v>107</v>
      </c>
      <c r="L17" s="165" t="s">
        <v>169</v>
      </c>
      <c r="M17" s="124">
        <v>45699</v>
      </c>
      <c r="N17" s="124">
        <v>45699</v>
      </c>
      <c r="O17" s="124">
        <v>45699</v>
      </c>
      <c r="P17" s="1" t="s">
        <v>108</v>
      </c>
      <c r="Q17" s="1" t="s">
        <v>108</v>
      </c>
      <c r="S17" s="166">
        <v>1199.78</v>
      </c>
      <c r="T17" s="20">
        <v>0</v>
      </c>
      <c r="U17" s="4">
        <v>2</v>
      </c>
      <c r="V17" s="4">
        <v>18</v>
      </c>
      <c r="W17" s="4">
        <v>1</v>
      </c>
      <c r="X17" s="4">
        <v>34880000</v>
      </c>
      <c r="Y17" s="1" t="s">
        <v>111</v>
      </c>
      <c r="Z17" s="8">
        <v>0</v>
      </c>
      <c r="AA17" s="8">
        <v>0</v>
      </c>
      <c r="AB17" s="8">
        <v>1199.78</v>
      </c>
      <c r="AC17" s="8">
        <v>0</v>
      </c>
      <c r="AD17" s="1" t="s">
        <v>108</v>
      </c>
      <c r="AL17">
        <v>103359</v>
      </c>
      <c r="AM17" t="s">
        <v>117</v>
      </c>
    </row>
    <row r="18" spans="2:39" ht="15" x14ac:dyDescent="0.25">
      <c r="B18" s="165" t="s">
        <v>155</v>
      </c>
      <c r="C18" s="4" t="s">
        <v>156</v>
      </c>
      <c r="D18" s="4" t="s">
        <v>170</v>
      </c>
      <c r="E18" s="4" t="s">
        <v>101</v>
      </c>
      <c r="F18" s="4" t="s">
        <v>102</v>
      </c>
      <c r="G18" s="4" t="s">
        <v>103</v>
      </c>
      <c r="H18" s="4" t="s">
        <v>104</v>
      </c>
      <c r="I18" s="1" t="s">
        <v>105</v>
      </c>
      <c r="J18" s="4" t="s">
        <v>106</v>
      </c>
      <c r="K18" s="1" t="s">
        <v>107</v>
      </c>
      <c r="L18" s="165" t="s">
        <v>171</v>
      </c>
      <c r="M18" s="124">
        <v>45699</v>
      </c>
      <c r="N18" s="124">
        <v>45699</v>
      </c>
      <c r="O18" s="124">
        <v>45699</v>
      </c>
      <c r="P18" s="1" t="s">
        <v>108</v>
      </c>
      <c r="Q18" s="1" t="s">
        <v>108</v>
      </c>
      <c r="S18" s="166">
        <v>8324.33</v>
      </c>
      <c r="T18" s="20">
        <v>0</v>
      </c>
      <c r="U18" s="4">
        <v>1</v>
      </c>
      <c r="V18" s="4">
        <v>25</v>
      </c>
      <c r="W18" s="4">
        <v>2</v>
      </c>
      <c r="X18" s="4">
        <v>44110000</v>
      </c>
      <c r="Y18" s="1" t="s">
        <v>109</v>
      </c>
      <c r="Z18" s="8">
        <v>8324.33</v>
      </c>
      <c r="AA18" s="8">
        <v>0</v>
      </c>
      <c r="AB18" s="8">
        <v>0</v>
      </c>
      <c r="AC18" s="8">
        <v>0</v>
      </c>
      <c r="AL18">
        <v>102614</v>
      </c>
      <c r="AM18" t="s">
        <v>118</v>
      </c>
    </row>
    <row r="19" spans="2:39" ht="15" x14ac:dyDescent="0.25">
      <c r="B19" s="165" t="s">
        <v>155</v>
      </c>
      <c r="C19" s="4" t="s">
        <v>159</v>
      </c>
      <c r="D19" s="4" t="s">
        <v>170</v>
      </c>
      <c r="E19" s="4" t="s">
        <v>101</v>
      </c>
      <c r="F19" s="4" t="s">
        <v>102</v>
      </c>
      <c r="G19" s="4" t="s">
        <v>103</v>
      </c>
      <c r="H19" s="4" t="s">
        <v>104</v>
      </c>
      <c r="I19" s="1" t="s">
        <v>105</v>
      </c>
      <c r="J19" s="4" t="s">
        <v>106</v>
      </c>
      <c r="K19" s="1" t="s">
        <v>107</v>
      </c>
      <c r="L19" s="165" t="s">
        <v>171</v>
      </c>
      <c r="M19" s="124">
        <v>45699</v>
      </c>
      <c r="N19" s="124">
        <v>45699</v>
      </c>
      <c r="O19" s="124">
        <v>45699</v>
      </c>
      <c r="P19" s="1" t="s">
        <v>108</v>
      </c>
      <c r="Q19" s="1" t="s">
        <v>108</v>
      </c>
      <c r="S19" s="166">
        <v>8324.33</v>
      </c>
      <c r="T19" s="20">
        <v>0</v>
      </c>
      <c r="U19" s="4">
        <v>2</v>
      </c>
      <c r="V19" s="4">
        <v>18</v>
      </c>
      <c r="W19" s="4">
        <v>1</v>
      </c>
      <c r="X19" s="4">
        <v>34880000</v>
      </c>
      <c r="Y19" s="1" t="s">
        <v>111</v>
      </c>
      <c r="Z19" s="8">
        <v>0</v>
      </c>
      <c r="AA19" s="8">
        <v>0</v>
      </c>
      <c r="AB19" s="8">
        <v>8324.33</v>
      </c>
      <c r="AC19" s="8">
        <v>0</v>
      </c>
      <c r="AD19" s="1" t="s">
        <v>108</v>
      </c>
      <c r="AL19">
        <v>105131</v>
      </c>
      <c r="AM19" t="s">
        <v>119</v>
      </c>
    </row>
    <row r="20" spans="2:39" ht="15" x14ac:dyDescent="0.25">
      <c r="B20" s="165" t="s">
        <v>155</v>
      </c>
      <c r="C20" s="4" t="s">
        <v>156</v>
      </c>
      <c r="D20" s="4" t="s">
        <v>172</v>
      </c>
      <c r="E20" s="4" t="s">
        <v>101</v>
      </c>
      <c r="F20" s="4" t="s">
        <v>102</v>
      </c>
      <c r="G20" s="4" t="s">
        <v>103</v>
      </c>
      <c r="H20" s="4" t="s">
        <v>104</v>
      </c>
      <c r="I20" s="1" t="s">
        <v>105</v>
      </c>
      <c r="J20" s="4" t="s">
        <v>106</v>
      </c>
      <c r="K20" s="1" t="s">
        <v>107</v>
      </c>
      <c r="L20" s="165" t="s">
        <v>173</v>
      </c>
      <c r="M20" s="124">
        <v>45708</v>
      </c>
      <c r="N20" s="124">
        <v>45708</v>
      </c>
      <c r="O20" s="124">
        <v>45708</v>
      </c>
      <c r="P20" s="1" t="s">
        <v>120</v>
      </c>
      <c r="Q20" s="1" t="s">
        <v>108</v>
      </c>
      <c r="S20" s="166">
        <v>58898.47</v>
      </c>
      <c r="T20" s="20">
        <v>0</v>
      </c>
      <c r="U20" s="4">
        <v>1</v>
      </c>
      <c r="V20" s="4">
        <v>25</v>
      </c>
      <c r="W20" s="4">
        <v>2</v>
      </c>
      <c r="X20" s="4">
        <v>44110000</v>
      </c>
      <c r="Y20" s="1" t="s">
        <v>109</v>
      </c>
      <c r="Z20" s="8">
        <v>58898.47</v>
      </c>
      <c r="AA20" s="8">
        <v>0</v>
      </c>
      <c r="AB20" s="8">
        <v>0</v>
      </c>
      <c r="AC20" s="8">
        <v>0</v>
      </c>
      <c r="AL20">
        <v>100467</v>
      </c>
      <c r="AM20" t="s">
        <v>121</v>
      </c>
    </row>
    <row r="21" spans="2:39" ht="15" x14ac:dyDescent="0.25">
      <c r="B21" s="165" t="s">
        <v>155</v>
      </c>
      <c r="C21" s="4" t="s">
        <v>159</v>
      </c>
      <c r="D21" s="4" t="s">
        <v>172</v>
      </c>
      <c r="E21" s="4" t="s">
        <v>101</v>
      </c>
      <c r="F21" s="4" t="s">
        <v>102</v>
      </c>
      <c r="G21" s="4" t="s">
        <v>103</v>
      </c>
      <c r="H21" s="4" t="s">
        <v>104</v>
      </c>
      <c r="I21" s="1" t="s">
        <v>105</v>
      </c>
      <c r="J21" s="4" t="s">
        <v>106</v>
      </c>
      <c r="K21" s="1" t="s">
        <v>107</v>
      </c>
      <c r="L21" s="165" t="s">
        <v>173</v>
      </c>
      <c r="M21" s="124">
        <v>45708</v>
      </c>
      <c r="N21" s="124">
        <v>45708</v>
      </c>
      <c r="O21" s="124">
        <v>45708</v>
      </c>
      <c r="P21" s="1" t="s">
        <v>120</v>
      </c>
      <c r="Q21" s="1" t="s">
        <v>108</v>
      </c>
      <c r="S21" s="166">
        <v>58898.47</v>
      </c>
      <c r="T21" s="20">
        <v>0</v>
      </c>
      <c r="U21" s="4">
        <v>2</v>
      </c>
      <c r="V21" s="4">
        <v>18</v>
      </c>
      <c r="W21" s="4">
        <v>1</v>
      </c>
      <c r="X21" s="4">
        <v>34880000</v>
      </c>
      <c r="Y21" s="1" t="s">
        <v>111</v>
      </c>
      <c r="Z21" s="8">
        <v>0</v>
      </c>
      <c r="AA21" s="8">
        <v>0</v>
      </c>
      <c r="AB21" s="8">
        <v>58898.47</v>
      </c>
      <c r="AC21" s="8">
        <v>0</v>
      </c>
      <c r="AD21" s="1" t="s">
        <v>108</v>
      </c>
      <c r="AL21">
        <v>100325</v>
      </c>
      <c r="AM21" t="s">
        <v>121</v>
      </c>
    </row>
    <row r="22" spans="2:39" ht="15" x14ac:dyDescent="0.25">
      <c r="B22" s="165" t="s">
        <v>155</v>
      </c>
      <c r="C22" s="4" t="s">
        <v>156</v>
      </c>
      <c r="D22" s="4" t="s">
        <v>174</v>
      </c>
      <c r="E22" s="4" t="s">
        <v>101</v>
      </c>
      <c r="F22" s="4" t="s">
        <v>102</v>
      </c>
      <c r="G22" s="4" t="s">
        <v>103</v>
      </c>
      <c r="H22" s="4" t="s">
        <v>104</v>
      </c>
      <c r="I22" s="1" t="s">
        <v>105</v>
      </c>
      <c r="J22" s="4" t="s">
        <v>106</v>
      </c>
      <c r="K22" s="1" t="s">
        <v>107</v>
      </c>
      <c r="L22" s="165" t="s">
        <v>175</v>
      </c>
      <c r="M22" s="124">
        <v>45708</v>
      </c>
      <c r="N22" s="124">
        <v>45708</v>
      </c>
      <c r="O22" s="124">
        <v>45708</v>
      </c>
      <c r="P22" s="1" t="s">
        <v>120</v>
      </c>
      <c r="Q22" s="1" t="s">
        <v>108</v>
      </c>
      <c r="S22" s="166">
        <v>53990.89</v>
      </c>
      <c r="T22" s="20">
        <v>0</v>
      </c>
      <c r="U22" s="4">
        <v>1</v>
      </c>
      <c r="V22" s="4">
        <v>25</v>
      </c>
      <c r="W22" s="4">
        <v>2</v>
      </c>
      <c r="X22" s="4">
        <v>44110000</v>
      </c>
      <c r="Y22" s="1" t="s">
        <v>109</v>
      </c>
      <c r="Z22" s="8">
        <v>53990.89</v>
      </c>
      <c r="AA22" s="8">
        <v>0</v>
      </c>
      <c r="AB22" s="8">
        <v>0</v>
      </c>
      <c r="AC22" s="8">
        <v>0</v>
      </c>
      <c r="AL22">
        <v>102008</v>
      </c>
      <c r="AM22" t="s">
        <v>122</v>
      </c>
    </row>
    <row r="23" spans="2:39" ht="15" x14ac:dyDescent="0.25">
      <c r="B23" s="165" t="s">
        <v>155</v>
      </c>
      <c r="C23" s="4" t="s">
        <v>159</v>
      </c>
      <c r="D23" s="4" t="s">
        <v>174</v>
      </c>
      <c r="E23" s="4" t="s">
        <v>101</v>
      </c>
      <c r="F23" s="4" t="s">
        <v>102</v>
      </c>
      <c r="G23" s="4" t="s">
        <v>103</v>
      </c>
      <c r="H23" s="4" t="s">
        <v>104</v>
      </c>
      <c r="I23" s="1" t="s">
        <v>105</v>
      </c>
      <c r="J23" s="4" t="s">
        <v>106</v>
      </c>
      <c r="K23" s="1" t="s">
        <v>107</v>
      </c>
      <c r="L23" s="165" t="s">
        <v>175</v>
      </c>
      <c r="M23" s="124">
        <v>45708</v>
      </c>
      <c r="N23" s="124">
        <v>45708</v>
      </c>
      <c r="O23" s="124">
        <v>45708</v>
      </c>
      <c r="P23" s="1" t="s">
        <v>120</v>
      </c>
      <c r="Q23" s="1" t="s">
        <v>108</v>
      </c>
      <c r="S23" s="166">
        <v>53990.89</v>
      </c>
      <c r="T23" s="20">
        <v>0</v>
      </c>
      <c r="U23" s="4">
        <v>2</v>
      </c>
      <c r="V23" s="4">
        <v>18</v>
      </c>
      <c r="W23" s="4">
        <v>1</v>
      </c>
      <c r="X23" s="4">
        <v>34880000</v>
      </c>
      <c r="Y23" s="1" t="s">
        <v>111</v>
      </c>
      <c r="Z23" s="8">
        <v>0</v>
      </c>
      <c r="AA23" s="8">
        <v>0</v>
      </c>
      <c r="AB23" s="8">
        <v>53990.89</v>
      </c>
      <c r="AC23" s="8">
        <v>0</v>
      </c>
      <c r="AD23" s="1" t="s">
        <v>108</v>
      </c>
      <c r="AL23">
        <v>103844</v>
      </c>
      <c r="AM23" t="s">
        <v>122</v>
      </c>
    </row>
    <row r="24" spans="2:39" ht="15" x14ac:dyDescent="0.25">
      <c r="B24" s="165" t="s">
        <v>155</v>
      </c>
      <c r="C24" s="4" t="s">
        <v>156</v>
      </c>
      <c r="D24" s="4" t="s">
        <v>176</v>
      </c>
      <c r="E24" s="4" t="s">
        <v>101</v>
      </c>
      <c r="F24" s="4" t="s">
        <v>102</v>
      </c>
      <c r="G24" s="4" t="s">
        <v>103</v>
      </c>
      <c r="H24" s="4" t="s">
        <v>104</v>
      </c>
      <c r="I24" s="1" t="s">
        <v>105</v>
      </c>
      <c r="J24" s="4" t="s">
        <v>106</v>
      </c>
      <c r="K24" s="1" t="s">
        <v>107</v>
      </c>
      <c r="L24" s="165" t="s">
        <v>177</v>
      </c>
      <c r="M24" s="124">
        <v>45708</v>
      </c>
      <c r="N24" s="124">
        <v>45708</v>
      </c>
      <c r="O24" s="124">
        <v>45708</v>
      </c>
      <c r="P24" s="1" t="s">
        <v>120</v>
      </c>
      <c r="Q24" s="1" t="s">
        <v>108</v>
      </c>
      <c r="S24" s="166">
        <v>12666.58</v>
      </c>
      <c r="T24" s="20">
        <v>0</v>
      </c>
      <c r="U24" s="4">
        <v>1</v>
      </c>
      <c r="V24" s="4">
        <v>25</v>
      </c>
      <c r="W24" s="4">
        <v>2</v>
      </c>
      <c r="X24" s="4">
        <v>44110000</v>
      </c>
      <c r="Y24" s="1" t="s">
        <v>109</v>
      </c>
      <c r="Z24" s="8">
        <v>12666.58</v>
      </c>
      <c r="AA24" s="8">
        <v>0</v>
      </c>
      <c r="AB24" s="8">
        <v>0</v>
      </c>
      <c r="AC24" s="8">
        <v>0</v>
      </c>
      <c r="AL24">
        <v>101647</v>
      </c>
      <c r="AM24" t="s">
        <v>123</v>
      </c>
    </row>
    <row r="25" spans="2:39" ht="15" x14ac:dyDescent="0.25">
      <c r="B25" s="165" t="s">
        <v>155</v>
      </c>
      <c r="C25" s="4" t="s">
        <v>159</v>
      </c>
      <c r="D25" s="4" t="s">
        <v>176</v>
      </c>
      <c r="E25" s="4" t="s">
        <v>101</v>
      </c>
      <c r="F25" s="4" t="s">
        <v>102</v>
      </c>
      <c r="G25" s="4" t="s">
        <v>103</v>
      </c>
      <c r="H25" s="4" t="s">
        <v>104</v>
      </c>
      <c r="I25" s="1" t="s">
        <v>105</v>
      </c>
      <c r="J25" s="4" t="s">
        <v>106</v>
      </c>
      <c r="K25" s="1" t="s">
        <v>107</v>
      </c>
      <c r="L25" s="165" t="s">
        <v>177</v>
      </c>
      <c r="M25" s="124">
        <v>45708</v>
      </c>
      <c r="N25" s="124">
        <v>45708</v>
      </c>
      <c r="O25" s="124">
        <v>45708</v>
      </c>
      <c r="P25" s="1" t="s">
        <v>120</v>
      </c>
      <c r="Q25" s="1" t="s">
        <v>108</v>
      </c>
      <c r="S25" s="166">
        <v>12666.58</v>
      </c>
      <c r="T25" s="20">
        <v>0</v>
      </c>
      <c r="U25" s="4">
        <v>2</v>
      </c>
      <c r="V25" s="4">
        <v>18</v>
      </c>
      <c r="W25" s="4">
        <v>1</v>
      </c>
      <c r="X25" s="4">
        <v>34880000</v>
      </c>
      <c r="Y25" s="1" t="s">
        <v>111</v>
      </c>
      <c r="Z25" s="8">
        <v>0</v>
      </c>
      <c r="AA25" s="8">
        <v>0</v>
      </c>
      <c r="AB25" s="8">
        <v>12666.58</v>
      </c>
      <c r="AC25" s="8">
        <v>0</v>
      </c>
      <c r="AD25" s="1" t="s">
        <v>108</v>
      </c>
      <c r="AL25">
        <v>103079</v>
      </c>
      <c r="AM25" t="s">
        <v>123</v>
      </c>
    </row>
    <row r="26" spans="2:39" ht="15" x14ac:dyDescent="0.25">
      <c r="B26" s="165" t="s">
        <v>155</v>
      </c>
      <c r="C26" s="4" t="s">
        <v>156</v>
      </c>
      <c r="D26" s="4" t="s">
        <v>178</v>
      </c>
      <c r="E26" s="4" t="s">
        <v>101</v>
      </c>
      <c r="F26" s="4" t="s">
        <v>102</v>
      </c>
      <c r="G26" s="4" t="s">
        <v>103</v>
      </c>
      <c r="H26" s="4" t="s">
        <v>104</v>
      </c>
      <c r="I26" s="1" t="s">
        <v>105</v>
      </c>
      <c r="J26" s="4" t="s">
        <v>106</v>
      </c>
      <c r="K26" s="1" t="s">
        <v>107</v>
      </c>
      <c r="L26" s="165" t="s">
        <v>179</v>
      </c>
      <c r="M26" s="124">
        <v>45708</v>
      </c>
      <c r="N26" s="124">
        <v>45708</v>
      </c>
      <c r="O26" s="124">
        <v>45708</v>
      </c>
      <c r="P26" s="1" t="s">
        <v>120</v>
      </c>
      <c r="Q26" s="1" t="s">
        <v>108</v>
      </c>
      <c r="S26" s="166">
        <v>6222.95</v>
      </c>
      <c r="T26" s="20">
        <v>0</v>
      </c>
      <c r="U26" s="4">
        <v>1</v>
      </c>
      <c r="V26" s="4">
        <v>25</v>
      </c>
      <c r="W26" s="4">
        <v>2</v>
      </c>
      <c r="X26" s="4">
        <v>44110000</v>
      </c>
      <c r="Y26" s="1" t="s">
        <v>109</v>
      </c>
      <c r="Z26" s="8">
        <v>6222.95</v>
      </c>
      <c r="AA26" s="8">
        <v>0</v>
      </c>
      <c r="AB26" s="8">
        <v>0</v>
      </c>
      <c r="AC26" s="8">
        <v>0</v>
      </c>
      <c r="AL26">
        <v>101979</v>
      </c>
      <c r="AM26" t="s">
        <v>124</v>
      </c>
    </row>
    <row r="27" spans="2:39" ht="15" x14ac:dyDescent="0.25">
      <c r="B27" s="165" t="s">
        <v>155</v>
      </c>
      <c r="C27" s="4" t="s">
        <v>159</v>
      </c>
      <c r="D27" s="4" t="s">
        <v>178</v>
      </c>
      <c r="E27" s="4" t="s">
        <v>101</v>
      </c>
      <c r="F27" s="4" t="s">
        <v>102</v>
      </c>
      <c r="G27" s="4" t="s">
        <v>103</v>
      </c>
      <c r="H27" s="4" t="s">
        <v>104</v>
      </c>
      <c r="I27" s="1" t="s">
        <v>105</v>
      </c>
      <c r="J27" s="4" t="s">
        <v>106</v>
      </c>
      <c r="K27" s="1" t="s">
        <v>107</v>
      </c>
      <c r="L27" s="165" t="s">
        <v>179</v>
      </c>
      <c r="M27" s="124">
        <v>45708</v>
      </c>
      <c r="N27" s="124">
        <v>45708</v>
      </c>
      <c r="O27" s="124">
        <v>45708</v>
      </c>
      <c r="P27" s="1" t="s">
        <v>120</v>
      </c>
      <c r="Q27" s="1" t="s">
        <v>108</v>
      </c>
      <c r="S27" s="166">
        <v>6222.95</v>
      </c>
      <c r="T27" s="20">
        <v>0</v>
      </c>
      <c r="U27" s="4">
        <v>2</v>
      </c>
      <c r="V27" s="4">
        <v>18</v>
      </c>
      <c r="W27" s="4">
        <v>1</v>
      </c>
      <c r="X27" s="4">
        <v>34880000</v>
      </c>
      <c r="Y27" s="1" t="s">
        <v>111</v>
      </c>
      <c r="Z27" s="8">
        <v>0</v>
      </c>
      <c r="AA27" s="8">
        <v>0</v>
      </c>
      <c r="AB27" s="8">
        <v>6222.95</v>
      </c>
      <c r="AC27" s="8">
        <v>0</v>
      </c>
      <c r="AD27" s="1" t="s">
        <v>108</v>
      </c>
      <c r="AL27">
        <v>103772</v>
      </c>
      <c r="AM27" t="s">
        <v>124</v>
      </c>
    </row>
    <row r="28" spans="2:39" ht="15" x14ac:dyDescent="0.25">
      <c r="B28" s="165" t="s">
        <v>155</v>
      </c>
      <c r="C28" s="4" t="s">
        <v>159</v>
      </c>
      <c r="D28" s="4" t="s">
        <v>180</v>
      </c>
      <c r="E28" s="4" t="s">
        <v>101</v>
      </c>
      <c r="F28" s="4" t="s">
        <v>102</v>
      </c>
      <c r="G28" s="4" t="s">
        <v>103</v>
      </c>
      <c r="H28" s="4" t="s">
        <v>104</v>
      </c>
      <c r="I28" s="1" t="s">
        <v>105</v>
      </c>
      <c r="J28" s="4" t="s">
        <v>106</v>
      </c>
      <c r="K28" s="1" t="s">
        <v>107</v>
      </c>
      <c r="L28" s="165" t="s">
        <v>181</v>
      </c>
      <c r="M28" s="124">
        <v>45708</v>
      </c>
      <c r="N28" s="124">
        <v>45708</v>
      </c>
      <c r="O28" s="124">
        <v>45708</v>
      </c>
      <c r="P28" s="1" t="s">
        <v>120</v>
      </c>
      <c r="Q28" s="1" t="s">
        <v>108</v>
      </c>
      <c r="S28" s="166">
        <v>8209.82</v>
      </c>
      <c r="T28" s="20">
        <v>0</v>
      </c>
      <c r="U28" s="4">
        <v>2</v>
      </c>
      <c r="V28" s="4">
        <v>18</v>
      </c>
      <c r="W28" s="4">
        <v>1</v>
      </c>
      <c r="X28" s="4">
        <v>34880000</v>
      </c>
      <c r="Y28" s="1" t="s">
        <v>111</v>
      </c>
      <c r="Z28" s="8">
        <v>0</v>
      </c>
      <c r="AA28" s="8">
        <v>0</v>
      </c>
      <c r="AB28" s="8">
        <v>8209.82</v>
      </c>
      <c r="AC28" s="8">
        <v>0</v>
      </c>
      <c r="AD28" s="1" t="s">
        <v>108</v>
      </c>
      <c r="AL28">
        <v>103772</v>
      </c>
      <c r="AM28" t="s">
        <v>124</v>
      </c>
    </row>
    <row r="29" spans="2:39" ht="15" x14ac:dyDescent="0.25">
      <c r="B29" s="165" t="s">
        <v>155</v>
      </c>
      <c r="C29" s="4" t="s">
        <v>156</v>
      </c>
      <c r="D29" s="4" t="s">
        <v>180</v>
      </c>
      <c r="E29" s="4" t="s">
        <v>101</v>
      </c>
      <c r="F29" s="4" t="s">
        <v>102</v>
      </c>
      <c r="G29" s="4" t="s">
        <v>103</v>
      </c>
      <c r="H29" s="4" t="s">
        <v>104</v>
      </c>
      <c r="I29" s="1" t="s">
        <v>105</v>
      </c>
      <c r="J29" s="4" t="s">
        <v>106</v>
      </c>
      <c r="K29" s="1" t="s">
        <v>107</v>
      </c>
      <c r="L29" s="165" t="s">
        <v>181</v>
      </c>
      <c r="M29" s="124">
        <v>45708</v>
      </c>
      <c r="N29" s="124">
        <v>45708</v>
      </c>
      <c r="O29" s="124">
        <v>45708</v>
      </c>
      <c r="P29" s="1" t="s">
        <v>120</v>
      </c>
      <c r="Q29" s="1" t="s">
        <v>108</v>
      </c>
      <c r="S29" s="166">
        <v>8209.82</v>
      </c>
      <c r="T29" s="20">
        <v>0</v>
      </c>
      <c r="U29" s="4">
        <v>1</v>
      </c>
      <c r="V29" s="4">
        <v>25</v>
      </c>
      <c r="W29" s="4">
        <v>2</v>
      </c>
      <c r="X29" s="4">
        <v>44110000</v>
      </c>
      <c r="Y29" s="1" t="s">
        <v>109</v>
      </c>
      <c r="Z29" s="8">
        <v>8209.82</v>
      </c>
      <c r="AA29" s="8">
        <v>0</v>
      </c>
      <c r="AB29" s="8">
        <v>0</v>
      </c>
      <c r="AC29" s="8">
        <v>0</v>
      </c>
      <c r="AL29">
        <v>101979</v>
      </c>
      <c r="AM29" t="s">
        <v>124</v>
      </c>
    </row>
    <row r="30" spans="2:39" ht="15" x14ac:dyDescent="0.25">
      <c r="B30" s="165" t="s">
        <v>155</v>
      </c>
      <c r="C30" s="4" t="s">
        <v>159</v>
      </c>
      <c r="D30" s="4" t="s">
        <v>182</v>
      </c>
      <c r="E30" s="4" t="s">
        <v>101</v>
      </c>
      <c r="F30" s="4" t="s">
        <v>102</v>
      </c>
      <c r="G30" s="4" t="s">
        <v>103</v>
      </c>
      <c r="H30" s="4" t="s">
        <v>104</v>
      </c>
      <c r="I30" s="1" t="s">
        <v>105</v>
      </c>
      <c r="J30" s="4" t="s">
        <v>106</v>
      </c>
      <c r="K30" s="1" t="s">
        <v>107</v>
      </c>
      <c r="L30" s="165" t="s">
        <v>183</v>
      </c>
      <c r="M30" s="124">
        <v>45708</v>
      </c>
      <c r="N30" s="124">
        <v>45708</v>
      </c>
      <c r="O30" s="124">
        <v>45708</v>
      </c>
      <c r="P30" s="1" t="s">
        <v>120</v>
      </c>
      <c r="Q30" s="1" t="s">
        <v>108</v>
      </c>
      <c r="S30" s="166">
        <v>10515.65</v>
      </c>
      <c r="T30" s="20">
        <v>0</v>
      </c>
      <c r="U30" s="4">
        <v>2</v>
      </c>
      <c r="V30" s="4">
        <v>18</v>
      </c>
      <c r="W30" s="4">
        <v>1</v>
      </c>
      <c r="X30" s="4">
        <v>34880000</v>
      </c>
      <c r="Y30" s="1" t="s">
        <v>111</v>
      </c>
      <c r="Z30" s="8">
        <v>0</v>
      </c>
      <c r="AA30" s="8">
        <v>0</v>
      </c>
      <c r="AB30" s="8">
        <v>10515.65</v>
      </c>
      <c r="AC30" s="8">
        <v>0</v>
      </c>
      <c r="AD30" s="1" t="s">
        <v>108</v>
      </c>
      <c r="AL30">
        <v>104060</v>
      </c>
      <c r="AM30" t="s">
        <v>125</v>
      </c>
    </row>
    <row r="31" spans="2:39" ht="15" x14ac:dyDescent="0.25">
      <c r="B31" s="165" t="s">
        <v>155</v>
      </c>
      <c r="C31" s="4" t="s">
        <v>156</v>
      </c>
      <c r="D31" s="4" t="s">
        <v>182</v>
      </c>
      <c r="E31" s="4" t="s">
        <v>101</v>
      </c>
      <c r="F31" s="4" t="s">
        <v>102</v>
      </c>
      <c r="G31" s="4" t="s">
        <v>103</v>
      </c>
      <c r="H31" s="4" t="s">
        <v>104</v>
      </c>
      <c r="I31" s="1" t="s">
        <v>105</v>
      </c>
      <c r="J31" s="4" t="s">
        <v>106</v>
      </c>
      <c r="K31" s="1" t="s">
        <v>107</v>
      </c>
      <c r="L31" s="165" t="s">
        <v>183</v>
      </c>
      <c r="M31" s="124">
        <v>45708</v>
      </c>
      <c r="N31" s="124">
        <v>45708</v>
      </c>
      <c r="O31" s="124">
        <v>45708</v>
      </c>
      <c r="P31" s="1" t="s">
        <v>120</v>
      </c>
      <c r="Q31" s="1" t="s">
        <v>108</v>
      </c>
      <c r="S31" s="166">
        <v>10515.65</v>
      </c>
      <c r="T31" s="20">
        <v>0</v>
      </c>
      <c r="U31" s="4">
        <v>1</v>
      </c>
      <c r="V31" s="4">
        <v>25</v>
      </c>
      <c r="W31" s="4">
        <v>2</v>
      </c>
      <c r="X31" s="4">
        <v>44110000</v>
      </c>
      <c r="Y31" s="1" t="s">
        <v>109</v>
      </c>
      <c r="Z31" s="8">
        <v>10515.65</v>
      </c>
      <c r="AA31" s="8">
        <v>0</v>
      </c>
      <c r="AB31" s="8">
        <v>0</v>
      </c>
      <c r="AC31" s="8">
        <v>0</v>
      </c>
      <c r="AL31">
        <v>102068</v>
      </c>
      <c r="AM31" t="s">
        <v>126</v>
      </c>
    </row>
    <row r="32" spans="2:39" ht="15" x14ac:dyDescent="0.25">
      <c r="B32" s="165" t="s">
        <v>155</v>
      </c>
      <c r="C32" s="4" t="s">
        <v>156</v>
      </c>
      <c r="D32" s="4" t="s">
        <v>184</v>
      </c>
      <c r="E32" s="4" t="s">
        <v>101</v>
      </c>
      <c r="F32" s="4" t="s">
        <v>102</v>
      </c>
      <c r="G32" s="4" t="s">
        <v>103</v>
      </c>
      <c r="H32" s="4" t="s">
        <v>104</v>
      </c>
      <c r="I32" s="1" t="s">
        <v>105</v>
      </c>
      <c r="J32" s="4" t="s">
        <v>106</v>
      </c>
      <c r="K32" s="1" t="s">
        <v>107</v>
      </c>
      <c r="L32" s="165" t="s">
        <v>185</v>
      </c>
      <c r="M32" s="124">
        <v>45708</v>
      </c>
      <c r="N32" s="124">
        <v>45708</v>
      </c>
      <c r="O32" s="124">
        <v>45708</v>
      </c>
      <c r="P32" s="1" t="s">
        <v>120</v>
      </c>
      <c r="Q32" s="1" t="s">
        <v>108</v>
      </c>
      <c r="S32" s="166">
        <v>28888.61</v>
      </c>
      <c r="T32" s="20">
        <v>0</v>
      </c>
      <c r="U32" s="4">
        <v>1</v>
      </c>
      <c r="V32" s="4">
        <v>25</v>
      </c>
      <c r="W32" s="4">
        <v>2</v>
      </c>
      <c r="X32" s="4">
        <v>44110000</v>
      </c>
      <c r="Y32" s="1" t="s">
        <v>109</v>
      </c>
      <c r="Z32" s="8">
        <v>28888.61</v>
      </c>
      <c r="AA32" s="8">
        <v>0</v>
      </c>
      <c r="AB32" s="8">
        <v>0</v>
      </c>
      <c r="AC32" s="8">
        <v>0</v>
      </c>
      <c r="AL32">
        <v>102383</v>
      </c>
      <c r="AM32" t="s">
        <v>127</v>
      </c>
    </row>
    <row r="33" spans="2:39" ht="15" x14ac:dyDescent="0.25">
      <c r="B33" s="165" t="s">
        <v>155</v>
      </c>
      <c r="C33" s="4" t="s">
        <v>159</v>
      </c>
      <c r="D33" s="4" t="s">
        <v>184</v>
      </c>
      <c r="E33" s="4" t="s">
        <v>101</v>
      </c>
      <c r="F33" s="4" t="s">
        <v>102</v>
      </c>
      <c r="G33" s="4" t="s">
        <v>103</v>
      </c>
      <c r="H33" s="4" t="s">
        <v>104</v>
      </c>
      <c r="I33" s="1" t="s">
        <v>105</v>
      </c>
      <c r="J33" s="4" t="s">
        <v>106</v>
      </c>
      <c r="K33" s="1" t="s">
        <v>107</v>
      </c>
      <c r="L33" s="165" t="s">
        <v>185</v>
      </c>
      <c r="M33" s="124">
        <v>45708</v>
      </c>
      <c r="N33" s="124">
        <v>45708</v>
      </c>
      <c r="O33" s="124">
        <v>45708</v>
      </c>
      <c r="P33" s="1" t="s">
        <v>120</v>
      </c>
      <c r="Q33" s="1" t="s">
        <v>108</v>
      </c>
      <c r="S33" s="166">
        <v>28888.61</v>
      </c>
      <c r="T33" s="20">
        <v>0</v>
      </c>
      <c r="U33" s="4">
        <v>2</v>
      </c>
      <c r="V33" s="4">
        <v>18</v>
      </c>
      <c r="W33" s="4">
        <v>1</v>
      </c>
      <c r="X33" s="4">
        <v>34880000</v>
      </c>
      <c r="Y33" s="1" t="s">
        <v>111</v>
      </c>
      <c r="Z33" s="8">
        <v>0</v>
      </c>
      <c r="AA33" s="8">
        <v>0</v>
      </c>
      <c r="AB33" s="8">
        <v>28888.61</v>
      </c>
      <c r="AC33" s="8">
        <v>0</v>
      </c>
      <c r="AD33" s="1" t="s">
        <v>108</v>
      </c>
      <c r="AL33">
        <v>104693</v>
      </c>
      <c r="AM33" t="s">
        <v>127</v>
      </c>
    </row>
    <row r="34" spans="2:39" ht="15" x14ac:dyDescent="0.25">
      <c r="B34" s="165" t="s">
        <v>155</v>
      </c>
      <c r="C34" s="4" t="s">
        <v>156</v>
      </c>
      <c r="D34" s="4" t="s">
        <v>186</v>
      </c>
      <c r="E34" s="4" t="s">
        <v>101</v>
      </c>
      <c r="F34" s="4" t="s">
        <v>102</v>
      </c>
      <c r="G34" s="4" t="s">
        <v>103</v>
      </c>
      <c r="H34" s="4" t="s">
        <v>104</v>
      </c>
      <c r="I34" s="1" t="s">
        <v>105</v>
      </c>
      <c r="J34" s="4" t="s">
        <v>106</v>
      </c>
      <c r="K34" s="1" t="s">
        <v>107</v>
      </c>
      <c r="L34" s="165" t="s">
        <v>187</v>
      </c>
      <c r="M34" s="124">
        <v>45708</v>
      </c>
      <c r="N34" s="124">
        <v>45708</v>
      </c>
      <c r="O34" s="124">
        <v>45708</v>
      </c>
      <c r="P34" s="1" t="s">
        <v>120</v>
      </c>
      <c r="Q34" s="1" t="s">
        <v>108</v>
      </c>
      <c r="S34" s="166">
        <v>25848.560000000001</v>
      </c>
      <c r="T34" s="20">
        <v>0</v>
      </c>
      <c r="U34" s="4">
        <v>1</v>
      </c>
      <c r="V34" s="4">
        <v>25</v>
      </c>
      <c r="W34" s="4">
        <v>2</v>
      </c>
      <c r="X34" s="4">
        <v>44110000</v>
      </c>
      <c r="Y34" s="1" t="s">
        <v>109</v>
      </c>
      <c r="Z34" s="8">
        <v>25848.560000000001</v>
      </c>
      <c r="AA34" s="8">
        <v>0</v>
      </c>
      <c r="AB34" s="8">
        <v>0</v>
      </c>
      <c r="AC34" s="8">
        <v>0</v>
      </c>
      <c r="AL34">
        <v>102627</v>
      </c>
      <c r="AM34" t="s">
        <v>128</v>
      </c>
    </row>
    <row r="35" spans="2:39" ht="15" x14ac:dyDescent="0.25">
      <c r="B35" s="165" t="s">
        <v>155</v>
      </c>
      <c r="C35" s="4" t="s">
        <v>159</v>
      </c>
      <c r="D35" s="4" t="s">
        <v>186</v>
      </c>
      <c r="E35" s="4" t="s">
        <v>101</v>
      </c>
      <c r="F35" s="4" t="s">
        <v>102</v>
      </c>
      <c r="G35" s="4" t="s">
        <v>103</v>
      </c>
      <c r="H35" s="4" t="s">
        <v>104</v>
      </c>
      <c r="I35" s="1" t="s">
        <v>105</v>
      </c>
      <c r="J35" s="4" t="s">
        <v>106</v>
      </c>
      <c r="K35" s="1" t="s">
        <v>107</v>
      </c>
      <c r="L35" s="165" t="s">
        <v>187</v>
      </c>
      <c r="M35" s="124">
        <v>45708</v>
      </c>
      <c r="N35" s="124">
        <v>45708</v>
      </c>
      <c r="O35" s="124">
        <v>45708</v>
      </c>
      <c r="P35" s="1" t="s">
        <v>120</v>
      </c>
      <c r="Q35" s="1" t="s">
        <v>108</v>
      </c>
      <c r="S35" s="166">
        <v>25848.560000000001</v>
      </c>
      <c r="T35" s="20">
        <v>0</v>
      </c>
      <c r="U35" s="4">
        <v>2</v>
      </c>
      <c r="V35" s="4">
        <v>18</v>
      </c>
      <c r="W35" s="4">
        <v>1</v>
      </c>
      <c r="X35" s="4">
        <v>34880000</v>
      </c>
      <c r="Y35" s="1" t="s">
        <v>111</v>
      </c>
      <c r="Z35" s="8">
        <v>0</v>
      </c>
      <c r="AA35" s="8">
        <v>0</v>
      </c>
      <c r="AB35" s="8">
        <v>25848.560000000001</v>
      </c>
      <c r="AC35" s="8">
        <v>0</v>
      </c>
      <c r="AD35" s="1" t="s">
        <v>108</v>
      </c>
      <c r="AL35">
        <v>105139</v>
      </c>
      <c r="AM35" t="s">
        <v>128</v>
      </c>
    </row>
    <row r="36" spans="2:39" ht="15" x14ac:dyDescent="0.25">
      <c r="B36" s="165" t="s">
        <v>155</v>
      </c>
      <c r="C36" s="4" t="s">
        <v>159</v>
      </c>
      <c r="D36" s="4" t="s">
        <v>188</v>
      </c>
      <c r="E36" s="4" t="s">
        <v>101</v>
      </c>
      <c r="F36" s="4" t="s">
        <v>102</v>
      </c>
      <c r="G36" s="4" t="s">
        <v>103</v>
      </c>
      <c r="H36" s="4" t="s">
        <v>104</v>
      </c>
      <c r="I36" s="1" t="s">
        <v>105</v>
      </c>
      <c r="J36" s="4" t="s">
        <v>106</v>
      </c>
      <c r="K36" s="1" t="s">
        <v>107</v>
      </c>
      <c r="L36" s="165" t="s">
        <v>189</v>
      </c>
      <c r="M36" s="124">
        <v>45708</v>
      </c>
      <c r="N36" s="124">
        <v>45708</v>
      </c>
      <c r="O36" s="124">
        <v>45708</v>
      </c>
      <c r="P36" s="1" t="s">
        <v>120</v>
      </c>
      <c r="Q36" s="1" t="s">
        <v>108</v>
      </c>
      <c r="S36" s="166">
        <v>55730.02</v>
      </c>
      <c r="T36" s="20">
        <v>0</v>
      </c>
      <c r="U36" s="4">
        <v>2</v>
      </c>
      <c r="V36" s="4">
        <v>18</v>
      </c>
      <c r="W36" s="4">
        <v>1</v>
      </c>
      <c r="X36" s="4">
        <v>34880000</v>
      </c>
      <c r="Y36" s="1" t="s">
        <v>111</v>
      </c>
      <c r="Z36" s="8">
        <v>0</v>
      </c>
      <c r="AA36" s="8">
        <v>0</v>
      </c>
      <c r="AB36" s="8">
        <v>55730.02</v>
      </c>
      <c r="AC36" s="8">
        <v>0</v>
      </c>
      <c r="AD36" s="1" t="s">
        <v>108</v>
      </c>
      <c r="AL36">
        <v>104367</v>
      </c>
      <c r="AM36" t="s">
        <v>129</v>
      </c>
    </row>
    <row r="37" spans="2:39" ht="15" x14ac:dyDescent="0.25">
      <c r="B37" s="165" t="s">
        <v>155</v>
      </c>
      <c r="C37" s="4" t="s">
        <v>156</v>
      </c>
      <c r="D37" s="4" t="s">
        <v>188</v>
      </c>
      <c r="E37" s="4" t="s">
        <v>101</v>
      </c>
      <c r="F37" s="4" t="s">
        <v>102</v>
      </c>
      <c r="G37" s="4" t="s">
        <v>103</v>
      </c>
      <c r="H37" s="4" t="s">
        <v>104</v>
      </c>
      <c r="I37" s="1" t="s">
        <v>105</v>
      </c>
      <c r="J37" s="4" t="s">
        <v>106</v>
      </c>
      <c r="K37" s="1" t="s">
        <v>107</v>
      </c>
      <c r="L37" s="165" t="s">
        <v>189</v>
      </c>
      <c r="M37" s="124">
        <v>45708</v>
      </c>
      <c r="N37" s="124">
        <v>45708</v>
      </c>
      <c r="O37" s="124">
        <v>45708</v>
      </c>
      <c r="P37" s="1" t="s">
        <v>120</v>
      </c>
      <c r="Q37" s="1" t="s">
        <v>108</v>
      </c>
      <c r="S37" s="166">
        <v>55730.02</v>
      </c>
      <c r="T37" s="20">
        <v>0</v>
      </c>
      <c r="U37" s="4">
        <v>1</v>
      </c>
      <c r="V37" s="4">
        <v>25</v>
      </c>
      <c r="W37" s="4">
        <v>2</v>
      </c>
      <c r="X37" s="4">
        <v>44110000</v>
      </c>
      <c r="Y37" s="1" t="s">
        <v>109</v>
      </c>
      <c r="Z37" s="8">
        <v>55730.02</v>
      </c>
      <c r="AA37" s="8">
        <v>0</v>
      </c>
      <c r="AB37" s="8">
        <v>0</v>
      </c>
      <c r="AC37" s="8">
        <v>0</v>
      </c>
      <c r="AL37">
        <v>102223</v>
      </c>
      <c r="AM37" t="s">
        <v>130</v>
      </c>
    </row>
    <row r="38" spans="2:39" ht="15" x14ac:dyDescent="0.25">
      <c r="B38" s="165" t="s">
        <v>155</v>
      </c>
      <c r="C38" s="4" t="s">
        <v>159</v>
      </c>
      <c r="D38" s="4" t="s">
        <v>190</v>
      </c>
      <c r="E38" s="4" t="s">
        <v>101</v>
      </c>
      <c r="F38" s="4" t="s">
        <v>102</v>
      </c>
      <c r="G38" s="4" t="s">
        <v>103</v>
      </c>
      <c r="H38" s="4" t="s">
        <v>104</v>
      </c>
      <c r="I38" s="1" t="s">
        <v>105</v>
      </c>
      <c r="J38" s="4" t="s">
        <v>106</v>
      </c>
      <c r="K38" s="1" t="s">
        <v>107</v>
      </c>
      <c r="L38" s="165" t="s">
        <v>191</v>
      </c>
      <c r="M38" s="124">
        <v>45712</v>
      </c>
      <c r="N38" s="124">
        <v>45712</v>
      </c>
      <c r="O38" s="124">
        <v>45712</v>
      </c>
      <c r="P38" s="1" t="s">
        <v>108</v>
      </c>
      <c r="Q38" s="1" t="s">
        <v>108</v>
      </c>
      <c r="S38" s="166">
        <v>28349.41</v>
      </c>
      <c r="T38" s="20">
        <v>0</v>
      </c>
      <c r="U38" s="4">
        <v>2</v>
      </c>
      <c r="V38" s="4">
        <v>18</v>
      </c>
      <c r="W38" s="4">
        <v>1</v>
      </c>
      <c r="X38" s="4">
        <v>34880000</v>
      </c>
      <c r="Y38" s="1" t="s">
        <v>111</v>
      </c>
      <c r="Z38" s="8">
        <v>0</v>
      </c>
      <c r="AA38" s="8">
        <v>0</v>
      </c>
      <c r="AB38" s="8">
        <v>28349.41</v>
      </c>
      <c r="AC38" s="8">
        <v>0</v>
      </c>
      <c r="AD38" s="1" t="s">
        <v>108</v>
      </c>
      <c r="AL38">
        <v>103360</v>
      </c>
      <c r="AM38" t="s">
        <v>131</v>
      </c>
    </row>
    <row r="39" spans="2:39" ht="15" x14ac:dyDescent="0.25">
      <c r="B39" s="165" t="s">
        <v>155</v>
      </c>
      <c r="C39" s="4" t="s">
        <v>156</v>
      </c>
      <c r="D39" s="4" t="s">
        <v>190</v>
      </c>
      <c r="E39" s="4" t="s">
        <v>101</v>
      </c>
      <c r="F39" s="4" t="s">
        <v>102</v>
      </c>
      <c r="G39" s="4" t="s">
        <v>103</v>
      </c>
      <c r="H39" s="4" t="s">
        <v>104</v>
      </c>
      <c r="I39" s="1" t="s">
        <v>105</v>
      </c>
      <c r="J39" s="4" t="s">
        <v>106</v>
      </c>
      <c r="K39" s="1" t="s">
        <v>107</v>
      </c>
      <c r="L39" s="165" t="s">
        <v>191</v>
      </c>
      <c r="M39" s="124">
        <v>45712</v>
      </c>
      <c r="N39" s="124">
        <v>45712</v>
      </c>
      <c r="O39" s="124">
        <v>45712</v>
      </c>
      <c r="P39" s="1" t="s">
        <v>108</v>
      </c>
      <c r="Q39" s="1" t="s">
        <v>108</v>
      </c>
      <c r="S39" s="166">
        <v>28349.41</v>
      </c>
      <c r="T39" s="20">
        <v>0</v>
      </c>
      <c r="U39" s="4">
        <v>1</v>
      </c>
      <c r="V39" s="4">
        <v>25</v>
      </c>
      <c r="W39" s="4">
        <v>2</v>
      </c>
      <c r="X39" s="4">
        <v>44110000</v>
      </c>
      <c r="Y39" s="1" t="s">
        <v>109</v>
      </c>
      <c r="Z39" s="8">
        <v>28349.41</v>
      </c>
      <c r="AA39" s="8">
        <v>0</v>
      </c>
      <c r="AB39" s="8">
        <v>0</v>
      </c>
      <c r="AC39" s="8">
        <v>0</v>
      </c>
      <c r="AL39">
        <v>101785</v>
      </c>
      <c r="AM39" t="s">
        <v>132</v>
      </c>
    </row>
    <row r="40" spans="2:39" ht="15" x14ac:dyDescent="0.25">
      <c r="B40" s="165" t="s">
        <v>155</v>
      </c>
      <c r="C40" s="4" t="s">
        <v>156</v>
      </c>
      <c r="D40" s="4" t="s">
        <v>192</v>
      </c>
      <c r="E40" s="4" t="s">
        <v>101</v>
      </c>
      <c r="F40" s="4" t="s">
        <v>102</v>
      </c>
      <c r="G40" s="4" t="s">
        <v>103</v>
      </c>
      <c r="H40" s="4" t="s">
        <v>104</v>
      </c>
      <c r="I40" s="1" t="s">
        <v>105</v>
      </c>
      <c r="J40" s="4" t="s">
        <v>106</v>
      </c>
      <c r="K40" s="1" t="s">
        <v>107</v>
      </c>
      <c r="L40" s="165" t="s">
        <v>193</v>
      </c>
      <c r="M40" s="124">
        <v>45712</v>
      </c>
      <c r="N40" s="124">
        <v>45712</v>
      </c>
      <c r="O40" s="124">
        <v>45712</v>
      </c>
      <c r="P40" s="1" t="s">
        <v>108</v>
      </c>
      <c r="Q40" s="1" t="s">
        <v>108</v>
      </c>
      <c r="S40" s="166">
        <v>34268.519999999997</v>
      </c>
      <c r="T40" s="20">
        <v>0</v>
      </c>
      <c r="U40" s="4">
        <v>1</v>
      </c>
      <c r="V40" s="4">
        <v>25</v>
      </c>
      <c r="W40" s="4">
        <v>2</v>
      </c>
      <c r="X40" s="4">
        <v>44110000</v>
      </c>
      <c r="Y40" s="1" t="s">
        <v>109</v>
      </c>
      <c r="Z40" s="8">
        <v>34268.519999999997</v>
      </c>
      <c r="AA40" s="8">
        <v>0</v>
      </c>
      <c r="AB40" s="8">
        <v>0</v>
      </c>
      <c r="AC40" s="8">
        <v>0</v>
      </c>
      <c r="AL40">
        <v>102498</v>
      </c>
      <c r="AM40" t="s">
        <v>112</v>
      </c>
    </row>
    <row r="41" spans="2:39" ht="15" x14ac:dyDescent="0.25">
      <c r="B41" s="165" t="s">
        <v>155</v>
      </c>
      <c r="C41" s="4" t="s">
        <v>159</v>
      </c>
      <c r="D41" s="4" t="s">
        <v>192</v>
      </c>
      <c r="E41" s="4" t="s">
        <v>101</v>
      </c>
      <c r="F41" s="4" t="s">
        <v>102</v>
      </c>
      <c r="G41" s="4" t="s">
        <v>103</v>
      </c>
      <c r="H41" s="4" t="s">
        <v>104</v>
      </c>
      <c r="I41" s="1" t="s">
        <v>105</v>
      </c>
      <c r="J41" s="4" t="s">
        <v>106</v>
      </c>
      <c r="K41" s="1" t="s">
        <v>107</v>
      </c>
      <c r="L41" s="165" t="s">
        <v>193</v>
      </c>
      <c r="M41" s="124">
        <v>45712</v>
      </c>
      <c r="N41" s="124">
        <v>45712</v>
      </c>
      <c r="O41" s="124">
        <v>45712</v>
      </c>
      <c r="P41" s="1" t="s">
        <v>108</v>
      </c>
      <c r="Q41" s="1" t="s">
        <v>108</v>
      </c>
      <c r="S41" s="166">
        <v>34268.519999999997</v>
      </c>
      <c r="T41" s="20">
        <v>0</v>
      </c>
      <c r="U41" s="4">
        <v>2</v>
      </c>
      <c r="V41" s="4">
        <v>18</v>
      </c>
      <c r="W41" s="4">
        <v>1</v>
      </c>
      <c r="X41" s="4">
        <v>34880000</v>
      </c>
      <c r="Y41" s="1" t="s">
        <v>111</v>
      </c>
      <c r="Z41" s="8">
        <v>0</v>
      </c>
      <c r="AA41" s="8">
        <v>0</v>
      </c>
      <c r="AB41" s="8">
        <v>34268.519999999997</v>
      </c>
      <c r="AC41" s="8">
        <v>0</v>
      </c>
      <c r="AD41" s="1" t="s">
        <v>108</v>
      </c>
      <c r="AL41">
        <v>104900</v>
      </c>
      <c r="AM41" t="s">
        <v>112</v>
      </c>
    </row>
    <row r="42" spans="2:39" ht="15" x14ac:dyDescent="0.25">
      <c r="B42" s="165" t="s">
        <v>155</v>
      </c>
      <c r="C42" s="4" t="s">
        <v>156</v>
      </c>
      <c r="D42" s="4" t="s">
        <v>194</v>
      </c>
      <c r="E42" s="4" t="s">
        <v>101</v>
      </c>
      <c r="F42" s="4" t="s">
        <v>102</v>
      </c>
      <c r="G42" s="4" t="s">
        <v>103</v>
      </c>
      <c r="H42" s="4" t="s">
        <v>104</v>
      </c>
      <c r="I42" s="1" t="s">
        <v>105</v>
      </c>
      <c r="J42" s="4" t="s">
        <v>106</v>
      </c>
      <c r="K42" s="1" t="s">
        <v>107</v>
      </c>
      <c r="L42" s="165" t="s">
        <v>195</v>
      </c>
      <c r="M42" s="124">
        <v>45712</v>
      </c>
      <c r="N42" s="124">
        <v>45712</v>
      </c>
      <c r="O42" s="124">
        <v>45712</v>
      </c>
      <c r="P42" s="1" t="s">
        <v>108</v>
      </c>
      <c r="Q42" s="1" t="s">
        <v>108</v>
      </c>
      <c r="S42" s="166">
        <v>23975.7</v>
      </c>
      <c r="T42" s="20">
        <v>0</v>
      </c>
      <c r="U42" s="4">
        <v>1</v>
      </c>
      <c r="V42" s="4">
        <v>25</v>
      </c>
      <c r="W42" s="4">
        <v>2</v>
      </c>
      <c r="X42" s="4">
        <v>44110000</v>
      </c>
      <c r="Y42" s="1" t="s">
        <v>109</v>
      </c>
      <c r="Z42" s="8">
        <v>23975.7</v>
      </c>
      <c r="AA42" s="8">
        <v>0</v>
      </c>
      <c r="AB42" s="8">
        <v>0</v>
      </c>
      <c r="AC42" s="8">
        <v>0</v>
      </c>
      <c r="AL42">
        <v>102450</v>
      </c>
      <c r="AM42" t="s">
        <v>133</v>
      </c>
    </row>
    <row r="43" spans="2:39" ht="15" x14ac:dyDescent="0.25">
      <c r="B43" s="165" t="s">
        <v>155</v>
      </c>
      <c r="C43" s="4" t="s">
        <v>159</v>
      </c>
      <c r="D43" s="4" t="s">
        <v>194</v>
      </c>
      <c r="E43" s="4" t="s">
        <v>101</v>
      </c>
      <c r="F43" s="4" t="s">
        <v>102</v>
      </c>
      <c r="G43" s="4" t="s">
        <v>103</v>
      </c>
      <c r="H43" s="4" t="s">
        <v>104</v>
      </c>
      <c r="I43" s="1" t="s">
        <v>105</v>
      </c>
      <c r="J43" s="4" t="s">
        <v>106</v>
      </c>
      <c r="K43" s="1" t="s">
        <v>107</v>
      </c>
      <c r="L43" s="165" t="s">
        <v>195</v>
      </c>
      <c r="M43" s="124">
        <v>45712</v>
      </c>
      <c r="N43" s="124">
        <v>45712</v>
      </c>
      <c r="O43" s="124">
        <v>45712</v>
      </c>
      <c r="P43" s="1" t="s">
        <v>108</v>
      </c>
      <c r="Q43" s="1" t="s">
        <v>108</v>
      </c>
      <c r="S43" s="166">
        <v>23975.7</v>
      </c>
      <c r="T43" s="20">
        <v>0</v>
      </c>
      <c r="U43" s="4">
        <v>2</v>
      </c>
      <c r="V43" s="4">
        <v>18</v>
      </c>
      <c r="W43" s="4">
        <v>1</v>
      </c>
      <c r="X43" s="4">
        <v>34880000</v>
      </c>
      <c r="Y43" s="1" t="s">
        <v>111</v>
      </c>
      <c r="Z43" s="8">
        <v>0</v>
      </c>
      <c r="AA43" s="8">
        <v>0</v>
      </c>
      <c r="AB43" s="8">
        <v>23975.7</v>
      </c>
      <c r="AC43" s="8">
        <v>0</v>
      </c>
      <c r="AD43" s="1" t="s">
        <v>108</v>
      </c>
      <c r="AL43">
        <v>104804</v>
      </c>
      <c r="AM43" t="s">
        <v>133</v>
      </c>
    </row>
    <row r="44" spans="2:39" ht="15" x14ac:dyDescent="0.25">
      <c r="B44" s="165" t="s">
        <v>155</v>
      </c>
      <c r="C44" s="4" t="s">
        <v>156</v>
      </c>
      <c r="D44" s="4" t="s">
        <v>196</v>
      </c>
      <c r="E44" s="4" t="s">
        <v>101</v>
      </c>
      <c r="F44" s="4" t="s">
        <v>102</v>
      </c>
      <c r="G44" s="4" t="s">
        <v>103</v>
      </c>
      <c r="H44" s="4" t="s">
        <v>104</v>
      </c>
      <c r="I44" s="1" t="s">
        <v>105</v>
      </c>
      <c r="J44" s="4" t="s">
        <v>106</v>
      </c>
      <c r="K44" s="1" t="s">
        <v>107</v>
      </c>
      <c r="L44" s="165" t="s">
        <v>197</v>
      </c>
      <c r="M44" s="124">
        <v>45712</v>
      </c>
      <c r="N44" s="124">
        <v>45712</v>
      </c>
      <c r="O44" s="124">
        <v>45712</v>
      </c>
      <c r="P44" s="1" t="s">
        <v>108</v>
      </c>
      <c r="Q44" s="1" t="s">
        <v>108</v>
      </c>
      <c r="S44" s="166">
        <v>22617.119999999999</v>
      </c>
      <c r="T44" s="20">
        <v>0</v>
      </c>
      <c r="U44" s="4">
        <v>1</v>
      </c>
      <c r="V44" s="4">
        <v>25</v>
      </c>
      <c r="W44" s="4">
        <v>2</v>
      </c>
      <c r="X44" s="4">
        <v>44110000</v>
      </c>
      <c r="Y44" s="1" t="s">
        <v>109</v>
      </c>
      <c r="Z44" s="8">
        <v>22617.119999999999</v>
      </c>
      <c r="AA44" s="8">
        <v>0</v>
      </c>
      <c r="AB44" s="8">
        <v>0</v>
      </c>
      <c r="AC44" s="8">
        <v>0</v>
      </c>
      <c r="AL44">
        <v>102450</v>
      </c>
      <c r="AM44" t="s">
        <v>133</v>
      </c>
    </row>
    <row r="45" spans="2:39" ht="15" x14ac:dyDescent="0.25">
      <c r="B45" s="165" t="s">
        <v>155</v>
      </c>
      <c r="C45" s="4" t="s">
        <v>159</v>
      </c>
      <c r="D45" s="4" t="s">
        <v>196</v>
      </c>
      <c r="E45" s="4" t="s">
        <v>101</v>
      </c>
      <c r="F45" s="4" t="s">
        <v>102</v>
      </c>
      <c r="G45" s="4" t="s">
        <v>103</v>
      </c>
      <c r="H45" s="4" t="s">
        <v>104</v>
      </c>
      <c r="I45" s="1" t="s">
        <v>105</v>
      </c>
      <c r="J45" s="4" t="s">
        <v>106</v>
      </c>
      <c r="K45" s="1" t="s">
        <v>107</v>
      </c>
      <c r="L45" s="165" t="s">
        <v>197</v>
      </c>
      <c r="M45" s="124">
        <v>45712</v>
      </c>
      <c r="N45" s="124">
        <v>45712</v>
      </c>
      <c r="O45" s="124">
        <v>45712</v>
      </c>
      <c r="P45" s="1" t="s">
        <v>108</v>
      </c>
      <c r="Q45" s="1" t="s">
        <v>108</v>
      </c>
      <c r="S45" s="166">
        <v>22617.119999999999</v>
      </c>
      <c r="T45" s="20">
        <v>0</v>
      </c>
      <c r="U45" s="4">
        <v>2</v>
      </c>
      <c r="V45" s="4">
        <v>18</v>
      </c>
      <c r="W45" s="4">
        <v>1</v>
      </c>
      <c r="X45" s="4">
        <v>34880000</v>
      </c>
      <c r="Y45" s="1" t="s">
        <v>111</v>
      </c>
      <c r="Z45" s="8">
        <v>0</v>
      </c>
      <c r="AA45" s="8">
        <v>0</v>
      </c>
      <c r="AB45" s="8">
        <v>22617.119999999999</v>
      </c>
      <c r="AC45" s="8">
        <v>0</v>
      </c>
      <c r="AD45" s="1" t="s">
        <v>108</v>
      </c>
      <c r="AL45">
        <v>104804</v>
      </c>
      <c r="AM45" t="s">
        <v>133</v>
      </c>
    </row>
    <row r="46" spans="2:39" ht="15" x14ac:dyDescent="0.25">
      <c r="B46" s="165" t="s">
        <v>155</v>
      </c>
      <c r="C46" s="4" t="s">
        <v>156</v>
      </c>
      <c r="D46" s="4" t="s">
        <v>198</v>
      </c>
      <c r="E46" s="4" t="s">
        <v>101</v>
      </c>
      <c r="F46" s="4" t="s">
        <v>102</v>
      </c>
      <c r="G46" s="4" t="s">
        <v>103</v>
      </c>
      <c r="H46" s="4" t="s">
        <v>104</v>
      </c>
      <c r="I46" s="1" t="s">
        <v>105</v>
      </c>
      <c r="J46" s="4" t="s">
        <v>106</v>
      </c>
      <c r="K46" s="1" t="s">
        <v>107</v>
      </c>
      <c r="L46" s="165" t="s">
        <v>199</v>
      </c>
      <c r="M46" s="124">
        <v>45712</v>
      </c>
      <c r="N46" s="124">
        <v>45712</v>
      </c>
      <c r="O46" s="124">
        <v>45712</v>
      </c>
      <c r="P46" s="1" t="s">
        <v>108</v>
      </c>
      <c r="Q46" s="1" t="s">
        <v>108</v>
      </c>
      <c r="S46" s="166">
        <v>24090.400000000001</v>
      </c>
      <c r="T46" s="20">
        <v>0</v>
      </c>
      <c r="U46" s="4">
        <v>1</v>
      </c>
      <c r="V46" s="4">
        <v>25</v>
      </c>
      <c r="W46" s="4">
        <v>2</v>
      </c>
      <c r="X46" s="4">
        <v>44110000</v>
      </c>
      <c r="Y46" s="1" t="s">
        <v>109</v>
      </c>
      <c r="Z46" s="8">
        <v>24090.400000000001</v>
      </c>
      <c r="AA46" s="8">
        <v>0</v>
      </c>
      <c r="AB46" s="8">
        <v>0</v>
      </c>
      <c r="AC46" s="8">
        <v>0</v>
      </c>
      <c r="AL46">
        <v>101421</v>
      </c>
      <c r="AM46" t="s">
        <v>134</v>
      </c>
    </row>
    <row r="47" spans="2:39" ht="15" x14ac:dyDescent="0.25">
      <c r="B47" s="165" t="s">
        <v>155</v>
      </c>
      <c r="C47" s="4" t="s">
        <v>159</v>
      </c>
      <c r="D47" s="4" t="s">
        <v>198</v>
      </c>
      <c r="E47" s="4" t="s">
        <v>101</v>
      </c>
      <c r="F47" s="4" t="s">
        <v>102</v>
      </c>
      <c r="G47" s="4" t="s">
        <v>103</v>
      </c>
      <c r="H47" s="4" t="s">
        <v>104</v>
      </c>
      <c r="I47" s="1" t="s">
        <v>105</v>
      </c>
      <c r="J47" s="4" t="s">
        <v>106</v>
      </c>
      <c r="K47" s="1" t="s">
        <v>107</v>
      </c>
      <c r="L47" s="165" t="s">
        <v>199</v>
      </c>
      <c r="M47" s="124">
        <v>45712</v>
      </c>
      <c r="N47" s="124">
        <v>45712</v>
      </c>
      <c r="O47" s="124">
        <v>45712</v>
      </c>
      <c r="P47" s="1" t="s">
        <v>108</v>
      </c>
      <c r="Q47" s="1" t="s">
        <v>108</v>
      </c>
      <c r="S47" s="166">
        <v>24090.400000000001</v>
      </c>
      <c r="T47" s="20">
        <v>0</v>
      </c>
      <c r="U47" s="4">
        <v>2</v>
      </c>
      <c r="V47" s="4">
        <v>18</v>
      </c>
      <c r="W47" s="4">
        <v>1</v>
      </c>
      <c r="X47" s="4">
        <v>34880000</v>
      </c>
      <c r="Y47" s="1" t="s">
        <v>111</v>
      </c>
      <c r="Z47" s="8">
        <v>0</v>
      </c>
      <c r="AA47" s="8">
        <v>0</v>
      </c>
      <c r="AB47" s="8">
        <v>24090.400000000001</v>
      </c>
      <c r="AC47" s="8">
        <v>0</v>
      </c>
      <c r="AD47" s="1" t="s">
        <v>108</v>
      </c>
      <c r="AL47">
        <v>102645</v>
      </c>
      <c r="AM47" t="s">
        <v>134</v>
      </c>
    </row>
    <row r="48" spans="2:39" ht="15" x14ac:dyDescent="0.25">
      <c r="B48" s="165" t="s">
        <v>155</v>
      </c>
      <c r="C48" s="4" t="s">
        <v>159</v>
      </c>
      <c r="D48" s="4" t="s">
        <v>200</v>
      </c>
      <c r="E48" s="4" t="s">
        <v>101</v>
      </c>
      <c r="F48" s="4" t="s">
        <v>102</v>
      </c>
      <c r="G48" s="4" t="s">
        <v>103</v>
      </c>
      <c r="H48" s="4" t="s">
        <v>104</v>
      </c>
      <c r="I48" s="1" t="s">
        <v>105</v>
      </c>
      <c r="J48" s="4" t="s">
        <v>106</v>
      </c>
      <c r="K48" s="1" t="s">
        <v>107</v>
      </c>
      <c r="L48" s="165" t="s">
        <v>201</v>
      </c>
      <c r="M48" s="124">
        <v>45712</v>
      </c>
      <c r="N48" s="124">
        <v>45712</v>
      </c>
      <c r="O48" s="124">
        <v>45712</v>
      </c>
      <c r="P48" s="1" t="s">
        <v>108</v>
      </c>
      <c r="Q48" s="1" t="s">
        <v>108</v>
      </c>
      <c r="S48" s="166">
        <v>10707.96</v>
      </c>
      <c r="T48" s="20">
        <v>0</v>
      </c>
      <c r="U48" s="4">
        <v>2</v>
      </c>
      <c r="V48" s="4">
        <v>18</v>
      </c>
      <c r="W48" s="4">
        <v>1</v>
      </c>
      <c r="X48" s="4">
        <v>34880000</v>
      </c>
      <c r="Y48" s="1" t="s">
        <v>111</v>
      </c>
      <c r="Z48" s="8">
        <v>0</v>
      </c>
      <c r="AA48" s="8">
        <v>0</v>
      </c>
      <c r="AB48" s="8">
        <v>10707.96</v>
      </c>
      <c r="AC48" s="8">
        <v>0</v>
      </c>
      <c r="AD48" s="1" t="s">
        <v>108</v>
      </c>
      <c r="AL48">
        <v>104296</v>
      </c>
      <c r="AM48" t="s">
        <v>135</v>
      </c>
    </row>
    <row r="49" spans="2:39" ht="15" x14ac:dyDescent="0.25">
      <c r="B49" s="165" t="s">
        <v>155</v>
      </c>
      <c r="C49" s="4" t="s">
        <v>156</v>
      </c>
      <c r="D49" s="4" t="s">
        <v>200</v>
      </c>
      <c r="E49" s="4" t="s">
        <v>101</v>
      </c>
      <c r="F49" s="4" t="s">
        <v>102</v>
      </c>
      <c r="G49" s="4" t="s">
        <v>103</v>
      </c>
      <c r="H49" s="4" t="s">
        <v>104</v>
      </c>
      <c r="I49" s="1" t="s">
        <v>105</v>
      </c>
      <c r="J49" s="4" t="s">
        <v>106</v>
      </c>
      <c r="K49" s="1" t="s">
        <v>107</v>
      </c>
      <c r="L49" s="165" t="s">
        <v>201</v>
      </c>
      <c r="M49" s="124">
        <v>45712</v>
      </c>
      <c r="N49" s="124">
        <v>45712</v>
      </c>
      <c r="O49" s="124">
        <v>45712</v>
      </c>
      <c r="P49" s="1" t="s">
        <v>108</v>
      </c>
      <c r="Q49" s="1" t="s">
        <v>108</v>
      </c>
      <c r="S49" s="166">
        <v>10707.96</v>
      </c>
      <c r="T49" s="20">
        <v>0</v>
      </c>
      <c r="U49" s="4">
        <v>1</v>
      </c>
      <c r="V49" s="4">
        <v>25</v>
      </c>
      <c r="W49" s="4">
        <v>2</v>
      </c>
      <c r="X49" s="4">
        <v>44110000</v>
      </c>
      <c r="Y49" s="1" t="s">
        <v>109</v>
      </c>
      <c r="Z49" s="8">
        <v>10707.96</v>
      </c>
      <c r="AA49" s="8">
        <v>0</v>
      </c>
      <c r="AB49" s="8">
        <v>0</v>
      </c>
      <c r="AC49" s="8">
        <v>0</v>
      </c>
      <c r="AL49">
        <v>102190</v>
      </c>
      <c r="AM49" t="s">
        <v>136</v>
      </c>
    </row>
    <row r="50" spans="2:39" ht="15" x14ac:dyDescent="0.25">
      <c r="B50" s="165" t="s">
        <v>155</v>
      </c>
      <c r="C50" s="4" t="s">
        <v>159</v>
      </c>
      <c r="D50" s="4" t="s">
        <v>202</v>
      </c>
      <c r="E50" s="4" t="s">
        <v>101</v>
      </c>
      <c r="F50" s="4" t="s">
        <v>102</v>
      </c>
      <c r="G50" s="4" t="s">
        <v>103</v>
      </c>
      <c r="H50" s="4" t="s">
        <v>104</v>
      </c>
      <c r="I50" s="1" t="s">
        <v>105</v>
      </c>
      <c r="J50" s="4" t="s">
        <v>106</v>
      </c>
      <c r="K50" s="1" t="s">
        <v>107</v>
      </c>
      <c r="L50" s="165" t="s">
        <v>203</v>
      </c>
      <c r="M50" s="124">
        <v>45712</v>
      </c>
      <c r="N50" s="124">
        <v>45712</v>
      </c>
      <c r="O50" s="124">
        <v>45712</v>
      </c>
      <c r="P50" s="1" t="s">
        <v>108</v>
      </c>
      <c r="Q50" s="1" t="s">
        <v>108</v>
      </c>
      <c r="S50" s="166">
        <v>7074.17</v>
      </c>
      <c r="T50" s="20">
        <v>0</v>
      </c>
      <c r="U50" s="4">
        <v>2</v>
      </c>
      <c r="V50" s="4">
        <v>18</v>
      </c>
      <c r="W50" s="4">
        <v>1</v>
      </c>
      <c r="X50" s="4">
        <v>34880000</v>
      </c>
      <c r="Y50" s="1" t="s">
        <v>111</v>
      </c>
      <c r="Z50" s="8">
        <v>0</v>
      </c>
      <c r="AA50" s="8">
        <v>0</v>
      </c>
      <c r="AB50" s="8">
        <v>7074.17</v>
      </c>
      <c r="AC50" s="8">
        <v>0</v>
      </c>
      <c r="AD50" s="1" t="s">
        <v>108</v>
      </c>
      <c r="AL50">
        <v>104296</v>
      </c>
      <c r="AM50" t="s">
        <v>135</v>
      </c>
    </row>
    <row r="51" spans="2:39" ht="15" x14ac:dyDescent="0.25">
      <c r="B51" s="165" t="s">
        <v>155</v>
      </c>
      <c r="C51" s="4" t="s">
        <v>156</v>
      </c>
      <c r="D51" s="4" t="s">
        <v>202</v>
      </c>
      <c r="E51" s="4" t="s">
        <v>101</v>
      </c>
      <c r="F51" s="4" t="s">
        <v>102</v>
      </c>
      <c r="G51" s="4" t="s">
        <v>103</v>
      </c>
      <c r="H51" s="4" t="s">
        <v>104</v>
      </c>
      <c r="I51" s="1" t="s">
        <v>105</v>
      </c>
      <c r="J51" s="4" t="s">
        <v>106</v>
      </c>
      <c r="K51" s="1" t="s">
        <v>107</v>
      </c>
      <c r="L51" s="165" t="s">
        <v>203</v>
      </c>
      <c r="M51" s="124">
        <v>45712</v>
      </c>
      <c r="N51" s="124">
        <v>45712</v>
      </c>
      <c r="O51" s="124">
        <v>45712</v>
      </c>
      <c r="P51" s="1" t="s">
        <v>108</v>
      </c>
      <c r="Q51" s="1" t="s">
        <v>108</v>
      </c>
      <c r="S51" s="166">
        <v>7074.17</v>
      </c>
      <c r="T51" s="20">
        <v>0</v>
      </c>
      <c r="U51" s="4">
        <v>1</v>
      </c>
      <c r="V51" s="4">
        <v>25</v>
      </c>
      <c r="W51" s="4">
        <v>2</v>
      </c>
      <c r="X51" s="4">
        <v>44110000</v>
      </c>
      <c r="Y51" s="1" t="s">
        <v>109</v>
      </c>
      <c r="Z51" s="8">
        <v>7074.17</v>
      </c>
      <c r="AA51" s="8">
        <v>0</v>
      </c>
      <c r="AB51" s="8">
        <v>0</v>
      </c>
      <c r="AC51" s="8">
        <v>0</v>
      </c>
      <c r="AL51">
        <v>102190</v>
      </c>
      <c r="AM51" t="s">
        <v>136</v>
      </c>
    </row>
    <row r="52" spans="2:39" ht="15" x14ac:dyDescent="0.25">
      <c r="B52" s="165" t="s">
        <v>155</v>
      </c>
      <c r="C52" s="4" t="s">
        <v>159</v>
      </c>
      <c r="D52" s="4" t="s">
        <v>204</v>
      </c>
      <c r="E52" s="4" t="s">
        <v>101</v>
      </c>
      <c r="F52" s="4" t="s">
        <v>102</v>
      </c>
      <c r="G52" s="4" t="s">
        <v>103</v>
      </c>
      <c r="H52" s="4" t="s">
        <v>104</v>
      </c>
      <c r="I52" s="1" t="s">
        <v>105</v>
      </c>
      <c r="J52" s="4" t="s">
        <v>106</v>
      </c>
      <c r="K52" s="1" t="s">
        <v>107</v>
      </c>
      <c r="L52" s="165" t="s">
        <v>205</v>
      </c>
      <c r="M52" s="124">
        <v>45713</v>
      </c>
      <c r="N52" s="124">
        <v>45713</v>
      </c>
      <c r="O52" s="124">
        <v>45713</v>
      </c>
      <c r="P52" s="1" t="s">
        <v>108</v>
      </c>
      <c r="Q52" s="1" t="s">
        <v>108</v>
      </c>
      <c r="S52" s="166">
        <v>24798.25</v>
      </c>
      <c r="T52" s="20">
        <v>0</v>
      </c>
      <c r="U52" s="4">
        <v>2</v>
      </c>
      <c r="V52" s="4">
        <v>18</v>
      </c>
      <c r="W52" s="4">
        <v>1</v>
      </c>
      <c r="X52" s="4">
        <v>34880000</v>
      </c>
      <c r="Y52" s="1" t="s">
        <v>111</v>
      </c>
      <c r="Z52" s="8">
        <v>0</v>
      </c>
      <c r="AA52" s="8">
        <v>0</v>
      </c>
      <c r="AB52" s="8">
        <v>24798.25</v>
      </c>
      <c r="AC52" s="8">
        <v>0</v>
      </c>
      <c r="AD52" s="1" t="s">
        <v>108</v>
      </c>
      <c r="AL52">
        <v>105025</v>
      </c>
      <c r="AM52" t="s">
        <v>137</v>
      </c>
    </row>
    <row r="53" spans="2:39" ht="15" x14ac:dyDescent="0.25">
      <c r="B53" s="165" t="s">
        <v>155</v>
      </c>
      <c r="C53" s="4" t="s">
        <v>156</v>
      </c>
      <c r="D53" s="4" t="s">
        <v>204</v>
      </c>
      <c r="E53" s="4" t="s">
        <v>101</v>
      </c>
      <c r="F53" s="4" t="s">
        <v>102</v>
      </c>
      <c r="G53" s="4" t="s">
        <v>103</v>
      </c>
      <c r="H53" s="4" t="s">
        <v>104</v>
      </c>
      <c r="I53" s="1" t="s">
        <v>105</v>
      </c>
      <c r="J53" s="4" t="s">
        <v>106</v>
      </c>
      <c r="K53" s="1" t="s">
        <v>107</v>
      </c>
      <c r="L53" s="165" t="s">
        <v>205</v>
      </c>
      <c r="M53" s="124">
        <v>45713</v>
      </c>
      <c r="N53" s="124">
        <v>45713</v>
      </c>
      <c r="O53" s="124">
        <v>45713</v>
      </c>
      <c r="P53" s="1" t="s">
        <v>108</v>
      </c>
      <c r="Q53" s="1" t="s">
        <v>108</v>
      </c>
      <c r="S53" s="166">
        <v>24798.25</v>
      </c>
      <c r="T53" s="20">
        <v>0</v>
      </c>
      <c r="U53" s="4">
        <v>1</v>
      </c>
      <c r="V53" s="4">
        <v>25</v>
      </c>
      <c r="W53" s="4">
        <v>2</v>
      </c>
      <c r="X53" s="4">
        <v>44110000</v>
      </c>
      <c r="Y53" s="1" t="s">
        <v>109</v>
      </c>
      <c r="Z53" s="8">
        <v>24798.25</v>
      </c>
      <c r="AA53" s="8">
        <v>0</v>
      </c>
      <c r="AB53" s="8">
        <v>0</v>
      </c>
      <c r="AC53" s="8">
        <v>0</v>
      </c>
      <c r="AL53">
        <v>102564</v>
      </c>
      <c r="AM53" t="s">
        <v>137</v>
      </c>
    </row>
    <row r="54" spans="2:39" ht="15" x14ac:dyDescent="0.25">
      <c r="B54" s="165" t="s">
        <v>155</v>
      </c>
      <c r="C54" s="4" t="s">
        <v>156</v>
      </c>
      <c r="D54" s="4" t="s">
        <v>206</v>
      </c>
      <c r="E54" s="4" t="s">
        <v>101</v>
      </c>
      <c r="F54" s="4" t="s">
        <v>102</v>
      </c>
      <c r="G54" s="4" t="s">
        <v>103</v>
      </c>
      <c r="H54" s="4" t="s">
        <v>104</v>
      </c>
      <c r="I54" s="1" t="s">
        <v>105</v>
      </c>
      <c r="J54" s="4" t="s">
        <v>106</v>
      </c>
      <c r="K54" s="1" t="s">
        <v>107</v>
      </c>
      <c r="L54" s="165" t="s">
        <v>207</v>
      </c>
      <c r="M54" s="124">
        <v>45713</v>
      </c>
      <c r="N54" s="124">
        <v>45713</v>
      </c>
      <c r="O54" s="124">
        <v>45713</v>
      </c>
      <c r="P54" s="1" t="s">
        <v>108</v>
      </c>
      <c r="Q54" s="1" t="s">
        <v>108</v>
      </c>
      <c r="S54" s="166">
        <v>45271.31</v>
      </c>
      <c r="T54" s="20">
        <v>0</v>
      </c>
      <c r="U54" s="4">
        <v>1</v>
      </c>
      <c r="V54" s="4">
        <v>25</v>
      </c>
      <c r="W54" s="4">
        <v>2</v>
      </c>
      <c r="X54" s="4">
        <v>44110000</v>
      </c>
      <c r="Y54" s="1" t="s">
        <v>109</v>
      </c>
      <c r="Z54" s="8">
        <v>45271.31</v>
      </c>
      <c r="AA54" s="8">
        <v>0</v>
      </c>
      <c r="AB54" s="8">
        <v>0</v>
      </c>
      <c r="AC54" s="8">
        <v>0</v>
      </c>
      <c r="AL54">
        <v>101575</v>
      </c>
      <c r="AM54" t="s">
        <v>138</v>
      </c>
    </row>
    <row r="55" spans="2:39" ht="15" x14ac:dyDescent="0.25">
      <c r="B55" s="165" t="s">
        <v>155</v>
      </c>
      <c r="C55" s="4" t="s">
        <v>159</v>
      </c>
      <c r="D55" s="4" t="s">
        <v>206</v>
      </c>
      <c r="E55" s="4" t="s">
        <v>101</v>
      </c>
      <c r="F55" s="4" t="s">
        <v>102</v>
      </c>
      <c r="G55" s="4" t="s">
        <v>103</v>
      </c>
      <c r="H55" s="4" t="s">
        <v>104</v>
      </c>
      <c r="I55" s="1" t="s">
        <v>105</v>
      </c>
      <c r="J55" s="4" t="s">
        <v>106</v>
      </c>
      <c r="K55" s="1" t="s">
        <v>107</v>
      </c>
      <c r="L55" s="165" t="s">
        <v>207</v>
      </c>
      <c r="M55" s="124">
        <v>45713</v>
      </c>
      <c r="N55" s="124">
        <v>45713</v>
      </c>
      <c r="O55" s="124">
        <v>45713</v>
      </c>
      <c r="P55" s="1" t="s">
        <v>108</v>
      </c>
      <c r="Q55" s="1" t="s">
        <v>108</v>
      </c>
      <c r="S55" s="166">
        <v>45271.31</v>
      </c>
      <c r="T55" s="20">
        <v>0</v>
      </c>
      <c r="U55" s="4">
        <v>2</v>
      </c>
      <c r="V55" s="4">
        <v>18</v>
      </c>
      <c r="W55" s="4">
        <v>1</v>
      </c>
      <c r="X55" s="4">
        <v>34880000</v>
      </c>
      <c r="Y55" s="1" t="s">
        <v>111</v>
      </c>
      <c r="Z55" s="8">
        <v>0</v>
      </c>
      <c r="AA55" s="8">
        <v>0</v>
      </c>
      <c r="AB55" s="8">
        <v>45271.31</v>
      </c>
      <c r="AC55" s="8">
        <v>0</v>
      </c>
      <c r="AD55" s="1" t="s">
        <v>108</v>
      </c>
      <c r="AL55">
        <v>102957</v>
      </c>
      <c r="AM55" t="s">
        <v>139</v>
      </c>
    </row>
    <row r="56" spans="2:39" ht="15" x14ac:dyDescent="0.25">
      <c r="B56" s="165" t="s">
        <v>155</v>
      </c>
      <c r="C56" s="4" t="s">
        <v>156</v>
      </c>
      <c r="D56" s="4" t="s">
        <v>208</v>
      </c>
      <c r="E56" s="4" t="s">
        <v>101</v>
      </c>
      <c r="F56" s="4" t="s">
        <v>102</v>
      </c>
      <c r="G56" s="4" t="s">
        <v>103</v>
      </c>
      <c r="H56" s="4" t="s">
        <v>104</v>
      </c>
      <c r="I56" s="1" t="s">
        <v>105</v>
      </c>
      <c r="J56" s="4" t="s">
        <v>106</v>
      </c>
      <c r="K56" s="1" t="s">
        <v>107</v>
      </c>
      <c r="L56" s="165" t="s">
        <v>209</v>
      </c>
      <c r="M56" s="124">
        <v>45714</v>
      </c>
      <c r="N56" s="124">
        <v>45714</v>
      </c>
      <c r="O56" s="124">
        <v>45714</v>
      </c>
      <c r="P56" s="1" t="s">
        <v>108</v>
      </c>
      <c r="Q56" s="1" t="s">
        <v>108</v>
      </c>
      <c r="S56" s="166">
        <v>13852.31</v>
      </c>
      <c r="T56" s="20">
        <v>0</v>
      </c>
      <c r="U56" s="4">
        <v>1</v>
      </c>
      <c r="V56" s="4">
        <v>25</v>
      </c>
      <c r="W56" s="4">
        <v>2</v>
      </c>
      <c r="X56" s="4">
        <v>44110000</v>
      </c>
      <c r="Y56" s="1" t="s">
        <v>109</v>
      </c>
      <c r="Z56" s="8">
        <v>13852.31</v>
      </c>
      <c r="AA56" s="8">
        <v>0</v>
      </c>
      <c r="AB56" s="8">
        <v>0</v>
      </c>
      <c r="AC56" s="8">
        <v>0</v>
      </c>
      <c r="AL56">
        <v>101441</v>
      </c>
      <c r="AM56" t="s">
        <v>140</v>
      </c>
    </row>
    <row r="57" spans="2:39" ht="15" x14ac:dyDescent="0.25">
      <c r="B57" s="165" t="s">
        <v>155</v>
      </c>
      <c r="C57" s="4" t="s">
        <v>159</v>
      </c>
      <c r="D57" s="4" t="s">
        <v>208</v>
      </c>
      <c r="E57" s="4" t="s">
        <v>101</v>
      </c>
      <c r="F57" s="4" t="s">
        <v>102</v>
      </c>
      <c r="G57" s="4" t="s">
        <v>103</v>
      </c>
      <c r="H57" s="4" t="s">
        <v>104</v>
      </c>
      <c r="I57" s="1" t="s">
        <v>105</v>
      </c>
      <c r="J57" s="4" t="s">
        <v>106</v>
      </c>
      <c r="K57" s="1" t="s">
        <v>107</v>
      </c>
      <c r="L57" s="165" t="s">
        <v>209</v>
      </c>
      <c r="M57" s="124">
        <v>45714</v>
      </c>
      <c r="N57" s="124">
        <v>45714</v>
      </c>
      <c r="O57" s="124">
        <v>45714</v>
      </c>
      <c r="P57" s="1" t="s">
        <v>108</v>
      </c>
      <c r="Q57" s="1" t="s">
        <v>108</v>
      </c>
      <c r="S57" s="166">
        <v>13852.31</v>
      </c>
      <c r="T57" s="20">
        <v>0</v>
      </c>
      <c r="U57" s="4">
        <v>2</v>
      </c>
      <c r="V57" s="4">
        <v>18</v>
      </c>
      <c r="W57" s="4">
        <v>1</v>
      </c>
      <c r="X57" s="4">
        <v>34880000</v>
      </c>
      <c r="Y57" s="1" t="s">
        <v>111</v>
      </c>
      <c r="Z57" s="8">
        <v>0</v>
      </c>
      <c r="AA57" s="8">
        <v>0</v>
      </c>
      <c r="AB57" s="8">
        <v>13852.31</v>
      </c>
      <c r="AC57" s="8">
        <v>0</v>
      </c>
      <c r="AD57" s="1" t="s">
        <v>108</v>
      </c>
      <c r="AL57">
        <v>102709</v>
      </c>
      <c r="AM57" t="s">
        <v>141</v>
      </c>
    </row>
    <row r="58" spans="2:39" ht="15" x14ac:dyDescent="0.25">
      <c r="B58" s="165" t="s">
        <v>155</v>
      </c>
      <c r="C58" s="4" t="s">
        <v>156</v>
      </c>
      <c r="D58" s="4" t="s">
        <v>210</v>
      </c>
      <c r="E58" s="4" t="s">
        <v>101</v>
      </c>
      <c r="F58" s="4" t="s">
        <v>102</v>
      </c>
      <c r="G58" s="4" t="s">
        <v>103</v>
      </c>
      <c r="H58" s="4" t="s">
        <v>104</v>
      </c>
      <c r="I58" s="1" t="s">
        <v>105</v>
      </c>
      <c r="J58" s="4" t="s">
        <v>106</v>
      </c>
      <c r="K58" s="1" t="s">
        <v>107</v>
      </c>
      <c r="L58" s="165" t="s">
        <v>211</v>
      </c>
      <c r="M58" s="124">
        <v>45716</v>
      </c>
      <c r="N58" s="124">
        <v>45716</v>
      </c>
      <c r="O58" s="124">
        <v>45716</v>
      </c>
      <c r="P58" s="1" t="s">
        <v>108</v>
      </c>
      <c r="Q58" s="1" t="s">
        <v>108</v>
      </c>
      <c r="S58" s="166">
        <v>18931.560000000001</v>
      </c>
      <c r="T58" s="20">
        <v>0</v>
      </c>
      <c r="U58" s="4">
        <v>1</v>
      </c>
      <c r="V58" s="4">
        <v>25</v>
      </c>
      <c r="W58" s="4">
        <v>2</v>
      </c>
      <c r="X58" s="4">
        <v>44110000</v>
      </c>
      <c r="Y58" s="1" t="s">
        <v>109</v>
      </c>
      <c r="Z58" s="8">
        <v>18931.560000000001</v>
      </c>
      <c r="AA58" s="8">
        <v>0</v>
      </c>
      <c r="AB58" s="8">
        <v>0</v>
      </c>
      <c r="AC58" s="8">
        <v>0</v>
      </c>
      <c r="AL58">
        <v>102191</v>
      </c>
      <c r="AM58" t="s">
        <v>113</v>
      </c>
    </row>
    <row r="59" spans="2:39" ht="15" x14ac:dyDescent="0.25">
      <c r="B59" s="165" t="s">
        <v>155</v>
      </c>
      <c r="C59" s="4" t="s">
        <v>159</v>
      </c>
      <c r="D59" s="4" t="s">
        <v>210</v>
      </c>
      <c r="E59" s="4" t="s">
        <v>101</v>
      </c>
      <c r="F59" s="4" t="s">
        <v>102</v>
      </c>
      <c r="G59" s="4" t="s">
        <v>103</v>
      </c>
      <c r="H59" s="4" t="s">
        <v>104</v>
      </c>
      <c r="I59" s="1" t="s">
        <v>105</v>
      </c>
      <c r="J59" s="4" t="s">
        <v>106</v>
      </c>
      <c r="K59" s="1" t="s">
        <v>107</v>
      </c>
      <c r="L59" s="165" t="s">
        <v>211</v>
      </c>
      <c r="M59" s="124">
        <v>45716</v>
      </c>
      <c r="N59" s="124">
        <v>45716</v>
      </c>
      <c r="O59" s="124">
        <v>45716</v>
      </c>
      <c r="P59" s="1" t="s">
        <v>108</v>
      </c>
      <c r="Q59" s="1" t="s">
        <v>108</v>
      </c>
      <c r="S59" s="166">
        <v>18931.560000000001</v>
      </c>
      <c r="T59" s="20">
        <v>0</v>
      </c>
      <c r="U59" s="4">
        <v>2</v>
      </c>
      <c r="V59" s="4">
        <v>18</v>
      </c>
      <c r="W59" s="4">
        <v>1</v>
      </c>
      <c r="X59" s="4">
        <v>34880000</v>
      </c>
      <c r="Y59" s="1" t="s">
        <v>111</v>
      </c>
      <c r="Z59" s="8">
        <v>0</v>
      </c>
      <c r="AA59" s="8">
        <v>0</v>
      </c>
      <c r="AB59" s="8">
        <v>18931.560000000001</v>
      </c>
      <c r="AC59" s="8">
        <v>0</v>
      </c>
      <c r="AD59" s="1" t="s">
        <v>108</v>
      </c>
      <c r="AL59">
        <v>104309</v>
      </c>
      <c r="AM59" t="s">
        <v>113</v>
      </c>
    </row>
    <row r="60" spans="2:39" ht="15" x14ac:dyDescent="0.25">
      <c r="B60" s="165" t="s">
        <v>155</v>
      </c>
      <c r="C60" s="4" t="s">
        <v>156</v>
      </c>
      <c r="D60" s="4" t="s">
        <v>212</v>
      </c>
      <c r="E60" s="4" t="s">
        <v>142</v>
      </c>
      <c r="F60" s="4" t="s">
        <v>102</v>
      </c>
      <c r="G60" s="4" t="s">
        <v>143</v>
      </c>
      <c r="H60" s="4" t="s">
        <v>104</v>
      </c>
      <c r="I60" s="1" t="s">
        <v>105</v>
      </c>
      <c r="J60" s="4" t="s">
        <v>106</v>
      </c>
      <c r="K60" s="1" t="s">
        <v>107</v>
      </c>
      <c r="L60" s="165" t="s">
        <v>213</v>
      </c>
      <c r="M60" s="124">
        <v>45698</v>
      </c>
      <c r="N60" s="124">
        <v>45698</v>
      </c>
      <c r="O60" s="124">
        <v>45698</v>
      </c>
      <c r="S60" s="166">
        <v>126459.59</v>
      </c>
      <c r="T60" s="20">
        <v>0</v>
      </c>
      <c r="U60" s="4">
        <v>4</v>
      </c>
      <c r="V60" s="4">
        <v>25</v>
      </c>
      <c r="W60" s="4">
        <v>2</v>
      </c>
      <c r="X60" s="4">
        <v>44110000</v>
      </c>
      <c r="Y60" s="1" t="s">
        <v>109</v>
      </c>
      <c r="Z60" s="8">
        <v>53973.8</v>
      </c>
      <c r="AA60" s="8">
        <v>0</v>
      </c>
      <c r="AB60" s="8">
        <v>0</v>
      </c>
      <c r="AC60" s="8">
        <v>0</v>
      </c>
      <c r="AL60">
        <v>102454</v>
      </c>
      <c r="AM60" t="s">
        <v>144</v>
      </c>
    </row>
    <row r="61" spans="2:39" ht="15" x14ac:dyDescent="0.25">
      <c r="B61" s="165" t="s">
        <v>155</v>
      </c>
      <c r="C61" s="4" t="s">
        <v>214</v>
      </c>
      <c r="D61" s="4" t="s">
        <v>212</v>
      </c>
      <c r="E61" s="4" t="s">
        <v>142</v>
      </c>
      <c r="F61" s="4" t="s">
        <v>102</v>
      </c>
      <c r="G61" s="4" t="s">
        <v>143</v>
      </c>
      <c r="H61" s="4" t="s">
        <v>104</v>
      </c>
      <c r="I61" s="1" t="s">
        <v>105</v>
      </c>
      <c r="J61" s="4" t="s">
        <v>106</v>
      </c>
      <c r="K61" s="1" t="s">
        <v>107</v>
      </c>
      <c r="L61" s="165" t="s">
        <v>213</v>
      </c>
      <c r="M61" s="124">
        <v>45698</v>
      </c>
      <c r="N61" s="124">
        <v>45698</v>
      </c>
      <c r="O61" s="124">
        <v>45698</v>
      </c>
      <c r="S61" s="166">
        <v>126459.59</v>
      </c>
      <c r="T61" s="20">
        <v>0</v>
      </c>
      <c r="U61" s="4">
        <v>1</v>
      </c>
      <c r="V61" s="4">
        <v>18</v>
      </c>
      <c r="W61" s="4">
        <v>1</v>
      </c>
      <c r="X61" s="4">
        <v>34210000</v>
      </c>
      <c r="Y61" s="1" t="s">
        <v>145</v>
      </c>
      <c r="Z61" s="8">
        <v>0</v>
      </c>
      <c r="AA61" s="8">
        <v>0</v>
      </c>
      <c r="AB61" s="8">
        <v>12238.21</v>
      </c>
      <c r="AC61" s="8">
        <v>0</v>
      </c>
      <c r="AL61">
        <v>104951</v>
      </c>
      <c r="AM61" t="s">
        <v>146</v>
      </c>
    </row>
    <row r="62" spans="2:39" ht="15" x14ac:dyDescent="0.25">
      <c r="B62" s="165" t="s">
        <v>155</v>
      </c>
      <c r="C62" s="4" t="s">
        <v>214</v>
      </c>
      <c r="D62" s="4" t="s">
        <v>212</v>
      </c>
      <c r="E62" s="4" t="s">
        <v>142</v>
      </c>
      <c r="F62" s="4" t="s">
        <v>102</v>
      </c>
      <c r="G62" s="4" t="s">
        <v>143</v>
      </c>
      <c r="H62" s="4" t="s">
        <v>104</v>
      </c>
      <c r="I62" s="1" t="s">
        <v>105</v>
      </c>
      <c r="J62" s="4" t="s">
        <v>106</v>
      </c>
      <c r="K62" s="1" t="s">
        <v>107</v>
      </c>
      <c r="L62" s="165" t="s">
        <v>213</v>
      </c>
      <c r="M62" s="124">
        <v>45698</v>
      </c>
      <c r="N62" s="124">
        <v>45698</v>
      </c>
      <c r="O62" s="124">
        <v>45698</v>
      </c>
      <c r="S62" s="166">
        <v>126459.59</v>
      </c>
      <c r="T62" s="20">
        <v>0</v>
      </c>
      <c r="U62" s="4">
        <v>2</v>
      </c>
      <c r="V62" s="4">
        <v>5</v>
      </c>
      <c r="W62" s="4">
        <v>0</v>
      </c>
      <c r="X62" s="4">
        <v>34210000</v>
      </c>
      <c r="Y62" s="1" t="s">
        <v>145</v>
      </c>
      <c r="Z62" s="8">
        <v>72485.789999999994</v>
      </c>
      <c r="AA62" s="8">
        <v>0</v>
      </c>
      <c r="AB62" s="8">
        <v>0</v>
      </c>
      <c r="AC62" s="8">
        <v>0</v>
      </c>
      <c r="AL62">
        <v>104951</v>
      </c>
      <c r="AM62" t="s">
        <v>146</v>
      </c>
    </row>
    <row r="63" spans="2:39" ht="15" x14ac:dyDescent="0.25">
      <c r="B63" s="165" t="s">
        <v>155</v>
      </c>
      <c r="C63" s="4" t="s">
        <v>214</v>
      </c>
      <c r="D63" s="4" t="s">
        <v>212</v>
      </c>
      <c r="E63" s="4" t="s">
        <v>142</v>
      </c>
      <c r="F63" s="4" t="s">
        <v>102</v>
      </c>
      <c r="G63" s="4" t="s">
        <v>143</v>
      </c>
      <c r="H63" s="4" t="s">
        <v>104</v>
      </c>
      <c r="I63" s="1" t="s">
        <v>105</v>
      </c>
      <c r="J63" s="4" t="s">
        <v>106</v>
      </c>
      <c r="K63" s="1" t="s">
        <v>107</v>
      </c>
      <c r="L63" s="165" t="s">
        <v>213</v>
      </c>
      <c r="M63" s="124">
        <v>45698</v>
      </c>
      <c r="N63" s="124">
        <v>45698</v>
      </c>
      <c r="O63" s="124">
        <v>45698</v>
      </c>
      <c r="S63" s="166">
        <v>126459.59</v>
      </c>
      <c r="T63" s="20">
        <v>0</v>
      </c>
      <c r="U63" s="4">
        <v>3</v>
      </c>
      <c r="V63" s="4">
        <v>18</v>
      </c>
      <c r="W63" s="4">
        <v>1</v>
      </c>
      <c r="X63" s="4">
        <v>34210000</v>
      </c>
      <c r="Y63" s="1" t="s">
        <v>145</v>
      </c>
      <c r="Z63" s="8">
        <v>0</v>
      </c>
      <c r="AA63" s="8">
        <v>0</v>
      </c>
      <c r="AB63" s="8">
        <v>114221.38</v>
      </c>
      <c r="AC63" s="8">
        <v>0</v>
      </c>
      <c r="AL63">
        <v>104951</v>
      </c>
      <c r="AM63" t="s">
        <v>146</v>
      </c>
    </row>
    <row r="64" spans="2:39" ht="15" x14ac:dyDescent="0.25">
      <c r="B64" s="165" t="s">
        <v>155</v>
      </c>
      <c r="C64" s="4" t="s">
        <v>156</v>
      </c>
      <c r="D64" s="4" t="s">
        <v>215</v>
      </c>
      <c r="E64" s="4" t="s">
        <v>147</v>
      </c>
      <c r="F64" s="4" t="s">
        <v>102</v>
      </c>
      <c r="G64" s="4" t="s">
        <v>143</v>
      </c>
      <c r="H64" s="4" t="s">
        <v>104</v>
      </c>
      <c r="I64" s="1" t="s">
        <v>105</v>
      </c>
      <c r="J64" s="4" t="s">
        <v>106</v>
      </c>
      <c r="K64" s="1" t="s">
        <v>107</v>
      </c>
      <c r="L64" s="165" t="s">
        <v>216</v>
      </c>
      <c r="M64" s="124">
        <v>45698</v>
      </c>
      <c r="N64" s="124">
        <v>45698</v>
      </c>
      <c r="O64" s="124">
        <v>45698</v>
      </c>
      <c r="S64" s="166">
        <v>1080698.57</v>
      </c>
      <c r="T64" s="20">
        <v>0</v>
      </c>
      <c r="U64" s="4">
        <v>4</v>
      </c>
      <c r="V64" s="4">
        <v>25</v>
      </c>
      <c r="W64" s="4">
        <v>2</v>
      </c>
      <c r="X64" s="4">
        <v>44110000</v>
      </c>
      <c r="Y64" s="1" t="s">
        <v>109</v>
      </c>
      <c r="Z64" s="8">
        <v>503344.43</v>
      </c>
      <c r="AA64" s="8">
        <v>0</v>
      </c>
      <c r="AB64" s="8">
        <v>0</v>
      </c>
      <c r="AC64" s="8">
        <v>0</v>
      </c>
      <c r="AL64">
        <v>101276</v>
      </c>
      <c r="AM64" t="s">
        <v>148</v>
      </c>
    </row>
    <row r="65" spans="2:39" ht="15" x14ac:dyDescent="0.25">
      <c r="B65" s="165" t="s">
        <v>155</v>
      </c>
      <c r="C65" s="4" t="s">
        <v>214</v>
      </c>
      <c r="D65" s="4" t="s">
        <v>215</v>
      </c>
      <c r="E65" s="4" t="s">
        <v>147</v>
      </c>
      <c r="F65" s="4" t="s">
        <v>102</v>
      </c>
      <c r="G65" s="4" t="s">
        <v>143</v>
      </c>
      <c r="H65" s="4" t="s">
        <v>104</v>
      </c>
      <c r="I65" s="1" t="s">
        <v>105</v>
      </c>
      <c r="J65" s="4" t="s">
        <v>106</v>
      </c>
      <c r="K65" s="1" t="s">
        <v>107</v>
      </c>
      <c r="L65" s="165" t="s">
        <v>216</v>
      </c>
      <c r="M65" s="124">
        <v>45698</v>
      </c>
      <c r="N65" s="124">
        <v>45698</v>
      </c>
      <c r="O65" s="124">
        <v>45698</v>
      </c>
      <c r="S65" s="166">
        <v>1080698.57</v>
      </c>
      <c r="T65" s="20">
        <v>0</v>
      </c>
      <c r="U65" s="4">
        <v>3</v>
      </c>
      <c r="V65" s="4">
        <v>18</v>
      </c>
      <c r="W65" s="4">
        <v>1</v>
      </c>
      <c r="X65" s="4">
        <v>34210000</v>
      </c>
      <c r="Y65" s="1" t="s">
        <v>145</v>
      </c>
      <c r="Z65" s="8">
        <v>0</v>
      </c>
      <c r="AA65" s="8">
        <v>0</v>
      </c>
      <c r="AB65" s="8">
        <v>658514.94999999995</v>
      </c>
      <c r="AC65" s="8">
        <v>0</v>
      </c>
      <c r="AL65">
        <v>103089</v>
      </c>
      <c r="AM65" t="s">
        <v>149</v>
      </c>
    </row>
    <row r="66" spans="2:39" ht="15" x14ac:dyDescent="0.25">
      <c r="B66" s="165" t="s">
        <v>155</v>
      </c>
      <c r="C66" s="4" t="s">
        <v>214</v>
      </c>
      <c r="D66" s="4" t="s">
        <v>215</v>
      </c>
      <c r="E66" s="4" t="s">
        <v>147</v>
      </c>
      <c r="F66" s="4" t="s">
        <v>102</v>
      </c>
      <c r="G66" s="4" t="s">
        <v>143</v>
      </c>
      <c r="H66" s="4" t="s">
        <v>104</v>
      </c>
      <c r="I66" s="1" t="s">
        <v>105</v>
      </c>
      <c r="J66" s="4" t="s">
        <v>106</v>
      </c>
      <c r="K66" s="1" t="s">
        <v>107</v>
      </c>
      <c r="L66" s="165" t="s">
        <v>216</v>
      </c>
      <c r="M66" s="124">
        <v>45698</v>
      </c>
      <c r="N66" s="124">
        <v>45698</v>
      </c>
      <c r="O66" s="124">
        <v>45698</v>
      </c>
      <c r="S66" s="166">
        <v>1080698.57</v>
      </c>
      <c r="T66" s="20">
        <v>0</v>
      </c>
      <c r="U66" s="4">
        <v>2</v>
      </c>
      <c r="V66" s="4">
        <v>5</v>
      </c>
      <c r="W66" s="4">
        <v>0</v>
      </c>
      <c r="X66" s="4">
        <v>34210000</v>
      </c>
      <c r="Y66" s="1" t="s">
        <v>145</v>
      </c>
      <c r="Z66" s="8">
        <v>577354.14</v>
      </c>
      <c r="AA66" s="8">
        <v>0</v>
      </c>
      <c r="AB66" s="8">
        <v>0</v>
      </c>
      <c r="AC66" s="8">
        <v>0</v>
      </c>
      <c r="AL66">
        <v>103089</v>
      </c>
      <c r="AM66" t="s">
        <v>149</v>
      </c>
    </row>
    <row r="67" spans="2:39" ht="15" x14ac:dyDescent="0.25">
      <c r="B67" s="165" t="s">
        <v>155</v>
      </c>
      <c r="C67" s="4" t="s">
        <v>214</v>
      </c>
      <c r="D67" s="4" t="s">
        <v>215</v>
      </c>
      <c r="E67" s="4" t="s">
        <v>147</v>
      </c>
      <c r="F67" s="4" t="s">
        <v>102</v>
      </c>
      <c r="G67" s="4" t="s">
        <v>143</v>
      </c>
      <c r="H67" s="4" t="s">
        <v>104</v>
      </c>
      <c r="I67" s="1" t="s">
        <v>105</v>
      </c>
      <c r="J67" s="4" t="s">
        <v>106</v>
      </c>
      <c r="K67" s="1" t="s">
        <v>107</v>
      </c>
      <c r="L67" s="165" t="s">
        <v>216</v>
      </c>
      <c r="M67" s="124">
        <v>45698</v>
      </c>
      <c r="N67" s="124">
        <v>45698</v>
      </c>
      <c r="O67" s="124">
        <v>45698</v>
      </c>
      <c r="S67" s="166">
        <v>1080698.57</v>
      </c>
      <c r="T67" s="20">
        <v>0</v>
      </c>
      <c r="U67" s="4">
        <v>1</v>
      </c>
      <c r="V67" s="4">
        <v>18</v>
      </c>
      <c r="W67" s="4">
        <v>1</v>
      </c>
      <c r="X67" s="4">
        <v>34210000</v>
      </c>
      <c r="Y67" s="1" t="s">
        <v>145</v>
      </c>
      <c r="Z67" s="8">
        <v>0</v>
      </c>
      <c r="AA67" s="8">
        <v>0</v>
      </c>
      <c r="AB67" s="8">
        <v>422183.62</v>
      </c>
      <c r="AC67" s="8">
        <v>0</v>
      </c>
      <c r="AL67">
        <v>103089</v>
      </c>
      <c r="AM67" t="s">
        <v>149</v>
      </c>
    </row>
    <row r="68" spans="2:39" ht="15" x14ac:dyDescent="0.25">
      <c r="B68" s="165" t="s">
        <v>155</v>
      </c>
      <c r="C68" s="4" t="s">
        <v>214</v>
      </c>
      <c r="D68" s="4" t="s">
        <v>217</v>
      </c>
      <c r="E68" s="4" t="s">
        <v>147</v>
      </c>
      <c r="F68" s="4" t="s">
        <v>102</v>
      </c>
      <c r="G68" s="4" t="s">
        <v>143</v>
      </c>
      <c r="H68" s="4" t="s">
        <v>104</v>
      </c>
      <c r="I68" s="1" t="s">
        <v>105</v>
      </c>
      <c r="J68" s="4" t="s">
        <v>106</v>
      </c>
      <c r="K68" s="1" t="s">
        <v>107</v>
      </c>
      <c r="L68" s="165" t="s">
        <v>218</v>
      </c>
      <c r="M68" s="124">
        <v>45700</v>
      </c>
      <c r="N68" s="124">
        <v>45700</v>
      </c>
      <c r="O68" s="124">
        <v>45700</v>
      </c>
      <c r="S68" s="166">
        <v>5110.2700000000004</v>
      </c>
      <c r="T68" s="20">
        <v>0</v>
      </c>
      <c r="U68" s="4">
        <v>2</v>
      </c>
      <c r="V68" s="4">
        <v>18</v>
      </c>
      <c r="W68" s="4">
        <v>1</v>
      </c>
      <c r="X68" s="4">
        <v>34210000</v>
      </c>
      <c r="Y68" s="1" t="s">
        <v>145</v>
      </c>
      <c r="Z68" s="8">
        <v>0</v>
      </c>
      <c r="AA68" s="8">
        <v>0</v>
      </c>
      <c r="AB68" s="8">
        <v>5110.2700000000004</v>
      </c>
      <c r="AC68" s="8">
        <v>0</v>
      </c>
      <c r="AL68">
        <v>105057</v>
      </c>
      <c r="AM68" t="s">
        <v>150</v>
      </c>
    </row>
    <row r="69" spans="2:39" ht="15" x14ac:dyDescent="0.25">
      <c r="B69" s="165" t="s">
        <v>155</v>
      </c>
      <c r="C69" s="4" t="s">
        <v>156</v>
      </c>
      <c r="D69" s="4" t="s">
        <v>217</v>
      </c>
      <c r="E69" s="4" t="s">
        <v>147</v>
      </c>
      <c r="F69" s="4" t="s">
        <v>102</v>
      </c>
      <c r="G69" s="4" t="s">
        <v>143</v>
      </c>
      <c r="H69" s="4" t="s">
        <v>104</v>
      </c>
      <c r="I69" s="1" t="s">
        <v>105</v>
      </c>
      <c r="J69" s="4" t="s">
        <v>106</v>
      </c>
      <c r="K69" s="1" t="s">
        <v>107</v>
      </c>
      <c r="L69" s="165" t="s">
        <v>218</v>
      </c>
      <c r="M69" s="124">
        <v>45700</v>
      </c>
      <c r="N69" s="124">
        <v>45700</v>
      </c>
      <c r="O69" s="124">
        <v>45700</v>
      </c>
      <c r="S69" s="166">
        <v>5110.2700000000004</v>
      </c>
      <c r="T69" s="20">
        <v>0</v>
      </c>
      <c r="U69" s="4">
        <v>1</v>
      </c>
      <c r="V69" s="4">
        <v>25</v>
      </c>
      <c r="W69" s="4">
        <v>2</v>
      </c>
      <c r="X69" s="4">
        <v>44110000</v>
      </c>
      <c r="Y69" s="1" t="s">
        <v>109</v>
      </c>
      <c r="Z69" s="8">
        <v>5110.2700000000004</v>
      </c>
      <c r="AA69" s="8">
        <v>0</v>
      </c>
      <c r="AB69" s="8">
        <v>0</v>
      </c>
      <c r="AC69" s="8">
        <v>0</v>
      </c>
      <c r="AL69">
        <v>102574</v>
      </c>
      <c r="AM69" t="s">
        <v>151</v>
      </c>
    </row>
    <row r="70" spans="2:39" ht="15" x14ac:dyDescent="0.25">
      <c r="B70" s="165" t="s">
        <v>155</v>
      </c>
      <c r="C70" s="4" t="s">
        <v>214</v>
      </c>
      <c r="D70" s="4" t="s">
        <v>219</v>
      </c>
      <c r="E70" s="4" t="s">
        <v>147</v>
      </c>
      <c r="F70" s="4" t="s">
        <v>102</v>
      </c>
      <c r="G70" s="4" t="s">
        <v>143</v>
      </c>
      <c r="H70" s="4" t="s">
        <v>104</v>
      </c>
      <c r="I70" s="1" t="s">
        <v>105</v>
      </c>
      <c r="J70" s="4" t="s">
        <v>106</v>
      </c>
      <c r="K70" s="1" t="s">
        <v>107</v>
      </c>
      <c r="L70" s="165" t="s">
        <v>220</v>
      </c>
      <c r="M70" s="124">
        <v>45705</v>
      </c>
      <c r="N70" s="124">
        <v>45705</v>
      </c>
      <c r="O70" s="124">
        <v>45705</v>
      </c>
      <c r="S70" s="166">
        <v>1337.83</v>
      </c>
      <c r="T70" s="20">
        <v>0</v>
      </c>
      <c r="U70" s="4">
        <v>2</v>
      </c>
      <c r="V70" s="4">
        <v>18</v>
      </c>
      <c r="W70" s="4">
        <v>1</v>
      </c>
      <c r="X70" s="4">
        <v>34210000</v>
      </c>
      <c r="Y70" s="1" t="s">
        <v>145</v>
      </c>
      <c r="Z70" s="8">
        <v>0</v>
      </c>
      <c r="AA70" s="8">
        <v>0</v>
      </c>
      <c r="AB70" s="8">
        <v>1337.83</v>
      </c>
      <c r="AC70" s="8">
        <v>0</v>
      </c>
      <c r="AL70">
        <v>103348</v>
      </c>
      <c r="AM70" t="s">
        <v>152</v>
      </c>
    </row>
    <row r="71" spans="2:39" ht="15" x14ac:dyDescent="0.25">
      <c r="B71" s="165" t="s">
        <v>155</v>
      </c>
      <c r="C71" s="4" t="s">
        <v>156</v>
      </c>
      <c r="D71" s="4" t="s">
        <v>219</v>
      </c>
      <c r="E71" s="4" t="s">
        <v>147</v>
      </c>
      <c r="F71" s="4" t="s">
        <v>102</v>
      </c>
      <c r="G71" s="4" t="s">
        <v>143</v>
      </c>
      <c r="H71" s="4" t="s">
        <v>104</v>
      </c>
      <c r="I71" s="1" t="s">
        <v>105</v>
      </c>
      <c r="J71" s="4" t="s">
        <v>106</v>
      </c>
      <c r="K71" s="1" t="s">
        <v>107</v>
      </c>
      <c r="L71" s="165" t="s">
        <v>220</v>
      </c>
      <c r="M71" s="124">
        <v>45705</v>
      </c>
      <c r="N71" s="124">
        <v>45705</v>
      </c>
      <c r="O71" s="124">
        <v>45705</v>
      </c>
      <c r="S71" s="166">
        <v>1337.83</v>
      </c>
      <c r="T71" s="20">
        <v>0</v>
      </c>
      <c r="U71" s="4">
        <v>1</v>
      </c>
      <c r="V71" s="4">
        <v>25</v>
      </c>
      <c r="W71" s="4">
        <v>2</v>
      </c>
      <c r="X71" s="4">
        <v>44110000</v>
      </c>
      <c r="Y71" s="1" t="s">
        <v>109</v>
      </c>
      <c r="Z71" s="8">
        <v>1337.83</v>
      </c>
      <c r="AA71" s="8">
        <v>0</v>
      </c>
      <c r="AB71" s="8">
        <v>0</v>
      </c>
      <c r="AC71" s="8">
        <v>0</v>
      </c>
      <c r="AL71">
        <v>101783</v>
      </c>
      <c r="AM71" t="s">
        <v>153</v>
      </c>
    </row>
    <row r="72" spans="2:39" ht="15" x14ac:dyDescent="0.25">
      <c r="B72" s="165" t="s">
        <v>39</v>
      </c>
      <c r="C72" s="4" t="s">
        <v>36</v>
      </c>
      <c r="D72" s="4" t="s">
        <v>65</v>
      </c>
      <c r="E72" s="4"/>
      <c r="F72" s="4" t="s">
        <v>154</v>
      </c>
      <c r="G72" s="4"/>
      <c r="H72" s="4"/>
      <c r="J72" s="4"/>
      <c r="L72" s="165"/>
      <c r="M72" s="124"/>
      <c r="N72" s="124"/>
      <c r="O72" s="124"/>
      <c r="S72" s="166">
        <v>6062778.3799999999</v>
      </c>
      <c r="T72" s="20"/>
      <c r="U72" s="4"/>
      <c r="V72" s="4"/>
      <c r="W72" s="4"/>
      <c r="X72" s="4"/>
      <c r="Z72" s="8"/>
      <c r="AA72" s="8"/>
      <c r="AB72" s="8"/>
      <c r="AC72" s="8"/>
      <c r="AL72"/>
      <c r="AM72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3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9.2851562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7" width="10.7109375" style="1" bestFit="1" customWidth="1"/>
    <col min="8" max="8" width="15.42578125" style="1" bestFit="1" customWidth="1"/>
    <col min="9" max="9" width="9.42578125" style="1" bestFit="1" customWidth="1"/>
    <col min="10" max="10" width="16" style="1" bestFit="1" customWidth="1"/>
    <col min="11" max="11" width="14.28515625" style="119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31</v>
      </c>
      <c r="M3" s="29">
        <f>+SUM(To_Analyze[[#All],[Total Deb./Cred.]])</f>
        <v>1824231.0300000003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 t="s">
        <v>155</v>
      </c>
      <c r="C6" s="4" t="s">
        <v>215</v>
      </c>
      <c r="D6" s="4" t="s">
        <v>147</v>
      </c>
      <c r="E6" s="4" t="s">
        <v>102</v>
      </c>
      <c r="F6" s="4" t="s">
        <v>143</v>
      </c>
      <c r="G6" s="4" t="s">
        <v>104</v>
      </c>
      <c r="H6" s="1" t="s">
        <v>105</v>
      </c>
      <c r="I6" s="4" t="s">
        <v>106</v>
      </c>
      <c r="J6" s="4" t="s">
        <v>216</v>
      </c>
      <c r="K6" s="124">
        <v>45698</v>
      </c>
      <c r="M6" s="8">
        <v>1080698.57</v>
      </c>
    </row>
    <row r="7" spans="2:13" x14ac:dyDescent="0.2">
      <c r="B7" s="4" t="s">
        <v>155</v>
      </c>
      <c r="C7" s="4" t="s">
        <v>212</v>
      </c>
      <c r="D7" s="4" t="s">
        <v>142</v>
      </c>
      <c r="E7" s="4" t="s">
        <v>102</v>
      </c>
      <c r="F7" s="4" t="s">
        <v>143</v>
      </c>
      <c r="G7" s="4" t="s">
        <v>104</v>
      </c>
      <c r="H7" s="1" t="s">
        <v>105</v>
      </c>
      <c r="I7" s="4" t="s">
        <v>106</v>
      </c>
      <c r="J7" s="4" t="s">
        <v>213</v>
      </c>
      <c r="K7" s="124">
        <v>45698</v>
      </c>
      <c r="M7" s="8">
        <v>126459.59</v>
      </c>
    </row>
    <row r="8" spans="2:13" x14ac:dyDescent="0.2">
      <c r="B8" s="4" t="s">
        <v>155</v>
      </c>
      <c r="C8" s="4" t="s">
        <v>172</v>
      </c>
      <c r="D8" s="4" t="s">
        <v>101</v>
      </c>
      <c r="E8" s="4" t="s">
        <v>102</v>
      </c>
      <c r="F8" s="4" t="s">
        <v>103</v>
      </c>
      <c r="G8" s="4" t="s">
        <v>104</v>
      </c>
      <c r="H8" s="1" t="s">
        <v>105</v>
      </c>
      <c r="I8" s="4" t="s">
        <v>106</v>
      </c>
      <c r="J8" s="4" t="s">
        <v>173</v>
      </c>
      <c r="K8" s="124">
        <v>45708</v>
      </c>
      <c r="L8" s="1" t="s">
        <v>120</v>
      </c>
      <c r="M8" s="8">
        <v>58898.47</v>
      </c>
    </row>
    <row r="9" spans="2:13" x14ac:dyDescent="0.2">
      <c r="B9" s="4" t="s">
        <v>155</v>
      </c>
      <c r="C9" s="4" t="s">
        <v>188</v>
      </c>
      <c r="D9" s="4" t="s">
        <v>101</v>
      </c>
      <c r="E9" s="4" t="s">
        <v>102</v>
      </c>
      <c r="F9" s="4" t="s">
        <v>103</v>
      </c>
      <c r="G9" s="4" t="s">
        <v>104</v>
      </c>
      <c r="H9" s="1" t="s">
        <v>105</v>
      </c>
      <c r="I9" s="4" t="s">
        <v>106</v>
      </c>
      <c r="J9" s="4" t="s">
        <v>189</v>
      </c>
      <c r="K9" s="124">
        <v>45708</v>
      </c>
      <c r="L9" s="1" t="s">
        <v>120</v>
      </c>
      <c r="M9" s="8">
        <v>55730.02</v>
      </c>
    </row>
    <row r="10" spans="2:13" x14ac:dyDescent="0.2">
      <c r="B10" s="4" t="s">
        <v>155</v>
      </c>
      <c r="C10" s="4" t="s">
        <v>174</v>
      </c>
      <c r="D10" s="4" t="s">
        <v>101</v>
      </c>
      <c r="E10" s="4" t="s">
        <v>102</v>
      </c>
      <c r="F10" s="4" t="s">
        <v>103</v>
      </c>
      <c r="G10" s="4" t="s">
        <v>104</v>
      </c>
      <c r="H10" s="1" t="s">
        <v>105</v>
      </c>
      <c r="I10" s="4" t="s">
        <v>106</v>
      </c>
      <c r="J10" s="4" t="s">
        <v>175</v>
      </c>
      <c r="K10" s="124">
        <v>45708</v>
      </c>
      <c r="L10" s="1" t="s">
        <v>120</v>
      </c>
      <c r="M10" s="8">
        <v>53990.89</v>
      </c>
    </row>
    <row r="11" spans="2:13" x14ac:dyDescent="0.2">
      <c r="B11" s="4" t="s">
        <v>155</v>
      </c>
      <c r="C11" s="4" t="s">
        <v>206</v>
      </c>
      <c r="D11" s="4" t="s">
        <v>101</v>
      </c>
      <c r="E11" s="4" t="s">
        <v>102</v>
      </c>
      <c r="F11" s="4" t="s">
        <v>103</v>
      </c>
      <c r="G11" s="4" t="s">
        <v>104</v>
      </c>
      <c r="H11" s="1" t="s">
        <v>105</v>
      </c>
      <c r="I11" s="4" t="s">
        <v>106</v>
      </c>
      <c r="J11" s="4" t="s">
        <v>207</v>
      </c>
      <c r="K11" s="124">
        <v>45713</v>
      </c>
      <c r="L11" s="1" t="s">
        <v>108</v>
      </c>
      <c r="M11" s="8">
        <v>45271.31</v>
      </c>
    </row>
    <row r="12" spans="2:13" x14ac:dyDescent="0.2">
      <c r="B12" s="4" t="s">
        <v>155</v>
      </c>
      <c r="C12" s="4" t="s">
        <v>192</v>
      </c>
      <c r="D12" s="4" t="s">
        <v>101</v>
      </c>
      <c r="E12" s="4" t="s">
        <v>102</v>
      </c>
      <c r="F12" s="4" t="s">
        <v>103</v>
      </c>
      <c r="G12" s="4" t="s">
        <v>104</v>
      </c>
      <c r="H12" s="1" t="s">
        <v>105</v>
      </c>
      <c r="I12" s="4" t="s">
        <v>106</v>
      </c>
      <c r="J12" s="4" t="s">
        <v>193</v>
      </c>
      <c r="K12" s="124">
        <v>45712</v>
      </c>
      <c r="L12" s="1" t="s">
        <v>108</v>
      </c>
      <c r="M12" s="8">
        <v>34268.519999999997</v>
      </c>
    </row>
    <row r="13" spans="2:13" x14ac:dyDescent="0.2">
      <c r="B13" s="4" t="s">
        <v>155</v>
      </c>
      <c r="C13" s="4" t="s">
        <v>184</v>
      </c>
      <c r="D13" s="4" t="s">
        <v>101</v>
      </c>
      <c r="E13" s="4" t="s">
        <v>102</v>
      </c>
      <c r="F13" s="4" t="s">
        <v>103</v>
      </c>
      <c r="G13" s="4" t="s">
        <v>104</v>
      </c>
      <c r="H13" s="1" t="s">
        <v>105</v>
      </c>
      <c r="I13" s="4" t="s">
        <v>106</v>
      </c>
      <c r="J13" s="4" t="s">
        <v>185</v>
      </c>
      <c r="K13" s="124">
        <v>45708</v>
      </c>
      <c r="L13" s="1" t="s">
        <v>120</v>
      </c>
      <c r="M13" s="8">
        <v>28888.61</v>
      </c>
    </row>
    <row r="14" spans="2:13" x14ac:dyDescent="0.2">
      <c r="B14" s="4" t="s">
        <v>155</v>
      </c>
      <c r="C14" s="4" t="s">
        <v>190</v>
      </c>
      <c r="D14" s="4" t="s">
        <v>101</v>
      </c>
      <c r="E14" s="4" t="s">
        <v>102</v>
      </c>
      <c r="F14" s="4" t="s">
        <v>103</v>
      </c>
      <c r="G14" s="4" t="s">
        <v>104</v>
      </c>
      <c r="H14" s="1" t="s">
        <v>105</v>
      </c>
      <c r="I14" s="4" t="s">
        <v>106</v>
      </c>
      <c r="J14" s="4" t="s">
        <v>191</v>
      </c>
      <c r="K14" s="124">
        <v>45712</v>
      </c>
      <c r="L14" s="1" t="s">
        <v>108</v>
      </c>
      <c r="M14" s="8">
        <v>28349.41</v>
      </c>
    </row>
    <row r="15" spans="2:13" x14ac:dyDescent="0.2">
      <c r="B15" s="4" t="s">
        <v>155</v>
      </c>
      <c r="C15" s="4" t="s">
        <v>157</v>
      </c>
      <c r="D15" s="4" t="s">
        <v>101</v>
      </c>
      <c r="E15" s="4" t="s">
        <v>102</v>
      </c>
      <c r="F15" s="4" t="s">
        <v>103</v>
      </c>
      <c r="G15" s="4" t="s">
        <v>104</v>
      </c>
      <c r="H15" s="1" t="s">
        <v>105</v>
      </c>
      <c r="I15" s="4" t="s">
        <v>106</v>
      </c>
      <c r="J15" s="4" t="s">
        <v>158</v>
      </c>
      <c r="K15" s="124">
        <v>45692</v>
      </c>
      <c r="L15" s="1" t="s">
        <v>108</v>
      </c>
      <c r="M15" s="8">
        <v>26994.14</v>
      </c>
    </row>
    <row r="16" spans="2:13" x14ac:dyDescent="0.2">
      <c r="B16" s="4" t="s">
        <v>155</v>
      </c>
      <c r="C16" s="4" t="s">
        <v>186</v>
      </c>
      <c r="D16" s="4" t="s">
        <v>101</v>
      </c>
      <c r="E16" s="4" t="s">
        <v>102</v>
      </c>
      <c r="F16" s="4" t="s">
        <v>103</v>
      </c>
      <c r="G16" s="4" t="s">
        <v>104</v>
      </c>
      <c r="H16" s="1" t="s">
        <v>105</v>
      </c>
      <c r="I16" s="4" t="s">
        <v>106</v>
      </c>
      <c r="J16" s="4" t="s">
        <v>187</v>
      </c>
      <c r="K16" s="124">
        <v>45708</v>
      </c>
      <c r="L16" s="1" t="s">
        <v>120</v>
      </c>
      <c r="M16" s="8">
        <v>25848.560000000001</v>
      </c>
    </row>
    <row r="17" spans="2:13" x14ac:dyDescent="0.2">
      <c r="B17" s="4" t="s">
        <v>155</v>
      </c>
      <c r="C17" s="4" t="s">
        <v>204</v>
      </c>
      <c r="D17" s="4" t="s">
        <v>101</v>
      </c>
      <c r="E17" s="4" t="s">
        <v>102</v>
      </c>
      <c r="F17" s="4" t="s">
        <v>103</v>
      </c>
      <c r="G17" s="4" t="s">
        <v>104</v>
      </c>
      <c r="H17" s="1" t="s">
        <v>105</v>
      </c>
      <c r="I17" s="4" t="s">
        <v>106</v>
      </c>
      <c r="J17" s="4" t="s">
        <v>205</v>
      </c>
      <c r="K17" s="124">
        <v>45713</v>
      </c>
      <c r="L17" s="1" t="s">
        <v>108</v>
      </c>
      <c r="M17" s="8">
        <v>24798.25</v>
      </c>
    </row>
    <row r="18" spans="2:13" x14ac:dyDescent="0.2">
      <c r="B18" s="4" t="s">
        <v>155</v>
      </c>
      <c r="C18" s="4" t="s">
        <v>198</v>
      </c>
      <c r="D18" s="4" t="s">
        <v>101</v>
      </c>
      <c r="E18" s="4" t="s">
        <v>102</v>
      </c>
      <c r="F18" s="4" t="s">
        <v>103</v>
      </c>
      <c r="G18" s="4" t="s">
        <v>104</v>
      </c>
      <c r="H18" s="1" t="s">
        <v>105</v>
      </c>
      <c r="I18" s="4" t="s">
        <v>106</v>
      </c>
      <c r="J18" s="4" t="s">
        <v>199</v>
      </c>
      <c r="K18" s="124">
        <v>45712</v>
      </c>
      <c r="L18" s="1" t="s">
        <v>108</v>
      </c>
      <c r="M18" s="8">
        <v>24090.400000000001</v>
      </c>
    </row>
    <row r="19" spans="2:13" x14ac:dyDescent="0.2">
      <c r="B19" s="4" t="s">
        <v>155</v>
      </c>
      <c r="C19" s="4" t="s">
        <v>194</v>
      </c>
      <c r="D19" s="4" t="s">
        <v>101</v>
      </c>
      <c r="E19" s="4" t="s">
        <v>102</v>
      </c>
      <c r="F19" s="4" t="s">
        <v>103</v>
      </c>
      <c r="G19" s="4" t="s">
        <v>104</v>
      </c>
      <c r="H19" s="1" t="s">
        <v>105</v>
      </c>
      <c r="I19" s="4" t="s">
        <v>106</v>
      </c>
      <c r="J19" s="4" t="s">
        <v>195</v>
      </c>
      <c r="K19" s="124">
        <v>45712</v>
      </c>
      <c r="L19" s="1" t="s">
        <v>108</v>
      </c>
      <c r="M19" s="8">
        <v>23975.7</v>
      </c>
    </row>
    <row r="20" spans="2:13" x14ac:dyDescent="0.2">
      <c r="B20" s="4" t="s">
        <v>155</v>
      </c>
      <c r="C20" s="4" t="s">
        <v>164</v>
      </c>
      <c r="D20" s="4" t="s">
        <v>101</v>
      </c>
      <c r="E20" s="4" t="s">
        <v>102</v>
      </c>
      <c r="F20" s="4" t="s">
        <v>103</v>
      </c>
      <c r="G20" s="4" t="s">
        <v>104</v>
      </c>
      <c r="H20" s="1" t="s">
        <v>105</v>
      </c>
      <c r="I20" s="4" t="s">
        <v>106</v>
      </c>
      <c r="J20" s="4" t="s">
        <v>165</v>
      </c>
      <c r="K20" s="124">
        <v>45698</v>
      </c>
      <c r="L20" s="1" t="s">
        <v>108</v>
      </c>
      <c r="M20" s="8">
        <v>23002.98</v>
      </c>
    </row>
    <row r="21" spans="2:13" x14ac:dyDescent="0.2">
      <c r="B21" s="4" t="s">
        <v>155</v>
      </c>
      <c r="C21" s="4" t="s">
        <v>196</v>
      </c>
      <c r="D21" s="4" t="s">
        <v>101</v>
      </c>
      <c r="E21" s="4" t="s">
        <v>102</v>
      </c>
      <c r="F21" s="4" t="s">
        <v>103</v>
      </c>
      <c r="G21" s="4" t="s">
        <v>104</v>
      </c>
      <c r="H21" s="1" t="s">
        <v>105</v>
      </c>
      <c r="I21" s="4" t="s">
        <v>106</v>
      </c>
      <c r="J21" s="4" t="s">
        <v>197</v>
      </c>
      <c r="K21" s="124">
        <v>45712</v>
      </c>
      <c r="L21" s="1" t="s">
        <v>108</v>
      </c>
      <c r="M21" s="8">
        <v>22617.119999999999</v>
      </c>
    </row>
    <row r="22" spans="2:13" x14ac:dyDescent="0.2">
      <c r="B22" s="4" t="s">
        <v>155</v>
      </c>
      <c r="C22" s="4" t="s">
        <v>160</v>
      </c>
      <c r="D22" s="4" t="s">
        <v>101</v>
      </c>
      <c r="E22" s="4" t="s">
        <v>102</v>
      </c>
      <c r="F22" s="4" t="s">
        <v>103</v>
      </c>
      <c r="G22" s="4" t="s">
        <v>104</v>
      </c>
      <c r="H22" s="1" t="s">
        <v>105</v>
      </c>
      <c r="I22" s="4" t="s">
        <v>106</v>
      </c>
      <c r="J22" s="4" t="s">
        <v>161</v>
      </c>
      <c r="K22" s="124">
        <v>45694</v>
      </c>
      <c r="L22" s="1" t="s">
        <v>108</v>
      </c>
      <c r="M22" s="8">
        <v>19886.27</v>
      </c>
    </row>
    <row r="23" spans="2:13" x14ac:dyDescent="0.2">
      <c r="B23" s="4" t="s">
        <v>155</v>
      </c>
      <c r="C23" s="4" t="s">
        <v>210</v>
      </c>
      <c r="D23" s="4" t="s">
        <v>101</v>
      </c>
      <c r="E23" s="4" t="s">
        <v>102</v>
      </c>
      <c r="F23" s="4" t="s">
        <v>103</v>
      </c>
      <c r="G23" s="4" t="s">
        <v>104</v>
      </c>
      <c r="H23" s="1" t="s">
        <v>105</v>
      </c>
      <c r="I23" s="4" t="s">
        <v>106</v>
      </c>
      <c r="J23" s="4" t="s">
        <v>211</v>
      </c>
      <c r="K23" s="124">
        <v>45716</v>
      </c>
      <c r="L23" s="1" t="s">
        <v>108</v>
      </c>
      <c r="M23" s="8">
        <v>18931.560000000001</v>
      </c>
    </row>
    <row r="24" spans="2:13" x14ac:dyDescent="0.2">
      <c r="B24" s="4" t="s">
        <v>155</v>
      </c>
      <c r="C24" s="4" t="s">
        <v>208</v>
      </c>
      <c r="D24" s="4" t="s">
        <v>101</v>
      </c>
      <c r="E24" s="4" t="s">
        <v>102</v>
      </c>
      <c r="F24" s="4" t="s">
        <v>103</v>
      </c>
      <c r="G24" s="4" t="s">
        <v>104</v>
      </c>
      <c r="H24" s="1" t="s">
        <v>105</v>
      </c>
      <c r="I24" s="4" t="s">
        <v>106</v>
      </c>
      <c r="J24" s="4" t="s">
        <v>209</v>
      </c>
      <c r="K24" s="124">
        <v>45714</v>
      </c>
      <c r="L24" s="1" t="s">
        <v>108</v>
      </c>
      <c r="M24" s="8">
        <v>13852.31</v>
      </c>
    </row>
    <row r="25" spans="2:13" x14ac:dyDescent="0.2">
      <c r="B25" s="4" t="s">
        <v>155</v>
      </c>
      <c r="C25" s="4" t="s">
        <v>162</v>
      </c>
      <c r="D25" s="4" t="s">
        <v>101</v>
      </c>
      <c r="E25" s="4" t="s">
        <v>102</v>
      </c>
      <c r="F25" s="4" t="s">
        <v>103</v>
      </c>
      <c r="G25" s="4" t="s">
        <v>104</v>
      </c>
      <c r="H25" s="1" t="s">
        <v>105</v>
      </c>
      <c r="I25" s="4" t="s">
        <v>106</v>
      </c>
      <c r="J25" s="4" t="s">
        <v>163</v>
      </c>
      <c r="K25" s="124">
        <v>45694</v>
      </c>
      <c r="L25" s="1" t="s">
        <v>108</v>
      </c>
      <c r="M25" s="8">
        <v>13101.84</v>
      </c>
    </row>
    <row r="26" spans="2:13" x14ac:dyDescent="0.2">
      <c r="B26" s="4" t="s">
        <v>155</v>
      </c>
      <c r="C26" s="4" t="s">
        <v>176</v>
      </c>
      <c r="D26" s="4" t="s">
        <v>101</v>
      </c>
      <c r="E26" s="4" t="s">
        <v>102</v>
      </c>
      <c r="F26" s="4" t="s">
        <v>103</v>
      </c>
      <c r="G26" s="4" t="s">
        <v>104</v>
      </c>
      <c r="H26" s="1" t="s">
        <v>105</v>
      </c>
      <c r="I26" s="4" t="s">
        <v>106</v>
      </c>
      <c r="J26" s="4" t="s">
        <v>177</v>
      </c>
      <c r="K26" s="124">
        <v>45708</v>
      </c>
      <c r="L26" s="1" t="s">
        <v>120</v>
      </c>
      <c r="M26" s="8">
        <v>12666.58</v>
      </c>
    </row>
    <row r="27" spans="2:13" x14ac:dyDescent="0.2">
      <c r="B27" s="4" t="s">
        <v>155</v>
      </c>
      <c r="C27" s="4" t="s">
        <v>200</v>
      </c>
      <c r="D27" s="4" t="s">
        <v>101</v>
      </c>
      <c r="E27" s="4" t="s">
        <v>102</v>
      </c>
      <c r="F27" s="4" t="s">
        <v>103</v>
      </c>
      <c r="G27" s="4" t="s">
        <v>104</v>
      </c>
      <c r="H27" s="1" t="s">
        <v>105</v>
      </c>
      <c r="I27" s="4" t="s">
        <v>106</v>
      </c>
      <c r="J27" s="4" t="s">
        <v>201</v>
      </c>
      <c r="K27" s="124">
        <v>45712</v>
      </c>
      <c r="L27" s="1" t="s">
        <v>108</v>
      </c>
      <c r="M27" s="8">
        <v>10707.96</v>
      </c>
    </row>
    <row r="28" spans="2:13" x14ac:dyDescent="0.2">
      <c r="B28" s="4" t="s">
        <v>155</v>
      </c>
      <c r="C28" s="4" t="s">
        <v>182</v>
      </c>
      <c r="D28" s="4" t="s">
        <v>101</v>
      </c>
      <c r="E28" s="4" t="s">
        <v>102</v>
      </c>
      <c r="F28" s="4" t="s">
        <v>103</v>
      </c>
      <c r="G28" s="4" t="s">
        <v>104</v>
      </c>
      <c r="H28" s="1" t="s">
        <v>105</v>
      </c>
      <c r="I28" s="4" t="s">
        <v>106</v>
      </c>
      <c r="J28" s="4" t="s">
        <v>183</v>
      </c>
      <c r="K28" s="124">
        <v>45708</v>
      </c>
      <c r="L28" s="1" t="s">
        <v>120</v>
      </c>
      <c r="M28" s="8">
        <v>10515.65</v>
      </c>
    </row>
    <row r="29" spans="2:13" x14ac:dyDescent="0.2">
      <c r="B29" s="4" t="s">
        <v>155</v>
      </c>
      <c r="C29" s="4" t="s">
        <v>170</v>
      </c>
      <c r="D29" s="4" t="s">
        <v>101</v>
      </c>
      <c r="E29" s="4" t="s">
        <v>102</v>
      </c>
      <c r="F29" s="4" t="s">
        <v>103</v>
      </c>
      <c r="G29" s="4" t="s">
        <v>104</v>
      </c>
      <c r="H29" s="1" t="s">
        <v>105</v>
      </c>
      <c r="I29" s="4" t="s">
        <v>106</v>
      </c>
      <c r="J29" s="4" t="s">
        <v>171</v>
      </c>
      <c r="K29" s="124">
        <v>45699</v>
      </c>
      <c r="L29" s="1" t="s">
        <v>108</v>
      </c>
      <c r="M29" s="8">
        <v>8324.33</v>
      </c>
    </row>
    <row r="30" spans="2:13" x14ac:dyDescent="0.2">
      <c r="B30" s="4" t="s">
        <v>155</v>
      </c>
      <c r="C30" s="4" t="s">
        <v>180</v>
      </c>
      <c r="D30" s="4" t="s">
        <v>101</v>
      </c>
      <c r="E30" s="4" t="s">
        <v>102</v>
      </c>
      <c r="F30" s="4" t="s">
        <v>103</v>
      </c>
      <c r="G30" s="4" t="s">
        <v>104</v>
      </c>
      <c r="H30" s="1" t="s">
        <v>105</v>
      </c>
      <c r="I30" s="4" t="s">
        <v>106</v>
      </c>
      <c r="J30" s="4" t="s">
        <v>181</v>
      </c>
      <c r="K30" s="124">
        <v>45708</v>
      </c>
      <c r="L30" s="1" t="s">
        <v>120</v>
      </c>
      <c r="M30" s="8">
        <v>8209.82</v>
      </c>
    </row>
    <row r="31" spans="2:13" x14ac:dyDescent="0.2">
      <c r="B31" s="4" t="s">
        <v>155</v>
      </c>
      <c r="C31" s="4" t="s">
        <v>202</v>
      </c>
      <c r="D31" s="4" t="s">
        <v>101</v>
      </c>
      <c r="E31" s="4" t="s">
        <v>102</v>
      </c>
      <c r="F31" s="4" t="s">
        <v>103</v>
      </c>
      <c r="G31" s="4" t="s">
        <v>104</v>
      </c>
      <c r="H31" s="1" t="s">
        <v>105</v>
      </c>
      <c r="I31" s="4" t="s">
        <v>106</v>
      </c>
      <c r="J31" s="4" t="s">
        <v>203</v>
      </c>
      <c r="K31" s="124">
        <v>45712</v>
      </c>
      <c r="L31" s="1" t="s">
        <v>108</v>
      </c>
      <c r="M31" s="8">
        <v>7074.17</v>
      </c>
    </row>
    <row r="32" spans="2:13" x14ac:dyDescent="0.2">
      <c r="B32" s="4" t="s">
        <v>155</v>
      </c>
      <c r="C32" s="4" t="s">
        <v>178</v>
      </c>
      <c r="D32" s="4" t="s">
        <v>101</v>
      </c>
      <c r="E32" s="4" t="s">
        <v>102</v>
      </c>
      <c r="F32" s="4" t="s">
        <v>103</v>
      </c>
      <c r="G32" s="4" t="s">
        <v>104</v>
      </c>
      <c r="H32" s="1" t="s">
        <v>105</v>
      </c>
      <c r="I32" s="4" t="s">
        <v>106</v>
      </c>
      <c r="J32" s="4" t="s">
        <v>179</v>
      </c>
      <c r="K32" s="124">
        <v>45708</v>
      </c>
      <c r="L32" s="1" t="s">
        <v>120</v>
      </c>
      <c r="M32" s="8">
        <v>6222.95</v>
      </c>
    </row>
    <row r="33" spans="2:13" x14ac:dyDescent="0.2">
      <c r="B33" s="4" t="s">
        <v>155</v>
      </c>
      <c r="C33" s="4" t="s">
        <v>217</v>
      </c>
      <c r="D33" s="4" t="s">
        <v>147</v>
      </c>
      <c r="E33" s="4" t="s">
        <v>102</v>
      </c>
      <c r="F33" s="4" t="s">
        <v>143</v>
      </c>
      <c r="G33" s="4" t="s">
        <v>104</v>
      </c>
      <c r="H33" s="1" t="s">
        <v>105</v>
      </c>
      <c r="I33" s="4" t="s">
        <v>106</v>
      </c>
      <c r="J33" s="4" t="s">
        <v>218</v>
      </c>
      <c r="K33" s="124">
        <v>45700</v>
      </c>
      <c r="M33" s="8">
        <v>5110.2700000000004</v>
      </c>
    </row>
    <row r="34" spans="2:13" x14ac:dyDescent="0.2">
      <c r="B34" s="4" t="s">
        <v>155</v>
      </c>
      <c r="C34" s="4" t="s">
        <v>166</v>
      </c>
      <c r="D34" s="4" t="s">
        <v>101</v>
      </c>
      <c r="E34" s="4" t="s">
        <v>102</v>
      </c>
      <c r="F34" s="4" t="s">
        <v>103</v>
      </c>
      <c r="G34" s="4" t="s">
        <v>104</v>
      </c>
      <c r="H34" s="1" t="s">
        <v>105</v>
      </c>
      <c r="I34" s="4" t="s">
        <v>106</v>
      </c>
      <c r="J34" s="4" t="s">
        <v>167</v>
      </c>
      <c r="K34" s="124">
        <v>45699</v>
      </c>
      <c r="L34" s="1" t="s">
        <v>108</v>
      </c>
      <c r="M34" s="8">
        <v>3207.17</v>
      </c>
    </row>
    <row r="35" spans="2:13" x14ac:dyDescent="0.2">
      <c r="B35" s="4" t="s">
        <v>155</v>
      </c>
      <c r="C35" s="4" t="s">
        <v>219</v>
      </c>
      <c r="D35" s="4" t="s">
        <v>147</v>
      </c>
      <c r="E35" s="4" t="s">
        <v>102</v>
      </c>
      <c r="F35" s="4" t="s">
        <v>143</v>
      </c>
      <c r="G35" s="4" t="s">
        <v>104</v>
      </c>
      <c r="H35" s="1" t="s">
        <v>105</v>
      </c>
      <c r="I35" s="4" t="s">
        <v>106</v>
      </c>
      <c r="J35" s="4" t="s">
        <v>220</v>
      </c>
      <c r="K35" s="124">
        <v>45705</v>
      </c>
      <c r="M35" s="8">
        <v>1337.83</v>
      </c>
    </row>
    <row r="36" spans="2:13" x14ac:dyDescent="0.2">
      <c r="B36" s="4" t="s">
        <v>155</v>
      </c>
      <c r="C36" s="4" t="s">
        <v>168</v>
      </c>
      <c r="D36" s="4" t="s">
        <v>101</v>
      </c>
      <c r="E36" s="4" t="s">
        <v>102</v>
      </c>
      <c r="F36" s="4" t="s">
        <v>103</v>
      </c>
      <c r="G36" s="4" t="s">
        <v>104</v>
      </c>
      <c r="H36" s="1" t="s">
        <v>105</v>
      </c>
      <c r="I36" s="4" t="s">
        <v>106</v>
      </c>
      <c r="J36" s="4" t="s">
        <v>169</v>
      </c>
      <c r="K36" s="124">
        <v>45699</v>
      </c>
      <c r="L36" s="1" t="s">
        <v>108</v>
      </c>
      <c r="M36" s="8">
        <v>1199.78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9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2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6062778.3799999999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3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65</v>
      </c>
      <c r="D6" s="4"/>
      <c r="E6" s="4" t="s">
        <v>154</v>
      </c>
      <c r="F6" s="4"/>
      <c r="G6" s="4"/>
      <c r="I6" s="4"/>
      <c r="J6" s="4"/>
      <c r="K6" s="124"/>
      <c r="M6" s="8">
        <v>6062778.3799999999</v>
      </c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8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57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24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3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6" width="10.7109375" style="1" bestFit="1" customWidth="1"/>
    <col min="7" max="7" width="15.425781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2"/>
    </row>
    <row r="3" spans="2:14" x14ac:dyDescent="0.2">
      <c r="L3" s="35">
        <f>+COUNTA(AP[[#All],[Type + TCode + Co + Doc N]])-1</f>
        <v>31</v>
      </c>
      <c r="M3" s="35">
        <f>+COUNTIF(AP[[#All],[Sampling]],"Sample")</f>
        <v>2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1824231.0300000003</v>
      </c>
      <c r="M5" s="30">
        <f>+SUMIF(AP[[#All],[Sampling]],"Sample",AP[[#All],[Total Deb./Cred.]])</f>
        <v>1207158.1600000001</v>
      </c>
      <c r="N5" s="33">
        <f>+L5-M5</f>
        <v>617072.87000000011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 t="s">
        <v>215</v>
      </c>
      <c r="C8" s="4" t="s">
        <v>147</v>
      </c>
      <c r="D8" s="4" t="s">
        <v>102</v>
      </c>
      <c r="E8" s="4" t="s">
        <v>143</v>
      </c>
      <c r="F8" s="4" t="s">
        <v>104</v>
      </c>
      <c r="G8" s="1" t="s">
        <v>105</v>
      </c>
      <c r="H8" s="4" t="s">
        <v>106</v>
      </c>
      <c r="I8" s="4" t="s">
        <v>216</v>
      </c>
      <c r="J8" s="124">
        <v>45698</v>
      </c>
      <c r="L8" s="8">
        <v>1080698.57</v>
      </c>
      <c r="M8" s="165" t="str">
        <f>+IF(AP[[#This Row],[Total Deb./Cred.]]&gt;Summary!$C$21,"Sample","-")</f>
        <v>Sample</v>
      </c>
    </row>
    <row r="9" spans="2:14" x14ac:dyDescent="0.2">
      <c r="B9" s="4" t="s">
        <v>212</v>
      </c>
      <c r="C9" s="4" t="s">
        <v>142</v>
      </c>
      <c r="D9" s="4" t="s">
        <v>102</v>
      </c>
      <c r="E9" s="4" t="s">
        <v>143</v>
      </c>
      <c r="F9" s="4" t="s">
        <v>104</v>
      </c>
      <c r="G9" s="1" t="s">
        <v>105</v>
      </c>
      <c r="H9" s="4" t="s">
        <v>106</v>
      </c>
      <c r="I9" s="4" t="s">
        <v>213</v>
      </c>
      <c r="J9" s="124">
        <v>45698</v>
      </c>
      <c r="L9" s="8">
        <v>126459.59</v>
      </c>
      <c r="M9" s="165" t="str">
        <f>+IF(AP[[#This Row],[Total Deb./Cred.]]&gt;Summary!$C$21,"Sample","-")</f>
        <v>Sample</v>
      </c>
    </row>
    <row r="10" spans="2:14" x14ac:dyDescent="0.2">
      <c r="B10" s="4" t="s">
        <v>172</v>
      </c>
      <c r="C10" s="4" t="s">
        <v>101</v>
      </c>
      <c r="D10" s="4" t="s">
        <v>102</v>
      </c>
      <c r="E10" s="4" t="s">
        <v>103</v>
      </c>
      <c r="F10" s="4" t="s">
        <v>104</v>
      </c>
      <c r="G10" s="1" t="s">
        <v>105</v>
      </c>
      <c r="H10" s="4" t="s">
        <v>106</v>
      </c>
      <c r="I10" s="4" t="s">
        <v>173</v>
      </c>
      <c r="J10" s="124">
        <v>45708</v>
      </c>
      <c r="K10" s="1" t="s">
        <v>120</v>
      </c>
      <c r="L10" s="8">
        <v>58898.47</v>
      </c>
      <c r="M10" s="165" t="str">
        <f>+IF(AP[[#This Row],[Total Deb./Cred.]]&gt;Summary!$C$21,"Sample","-")</f>
        <v>-</v>
      </c>
    </row>
    <row r="11" spans="2:14" x14ac:dyDescent="0.2">
      <c r="B11" s="4" t="s">
        <v>188</v>
      </c>
      <c r="C11" s="4" t="s">
        <v>101</v>
      </c>
      <c r="D11" s="4" t="s">
        <v>102</v>
      </c>
      <c r="E11" s="4" t="s">
        <v>103</v>
      </c>
      <c r="F11" s="4" t="s">
        <v>104</v>
      </c>
      <c r="G11" s="1" t="s">
        <v>105</v>
      </c>
      <c r="H11" s="4" t="s">
        <v>106</v>
      </c>
      <c r="I11" s="4" t="s">
        <v>189</v>
      </c>
      <c r="J11" s="124">
        <v>45708</v>
      </c>
      <c r="K11" s="1" t="s">
        <v>120</v>
      </c>
      <c r="L11" s="8">
        <v>55730.02</v>
      </c>
      <c r="M11" s="165" t="str">
        <f>+IF(AP[[#This Row],[Total Deb./Cred.]]&gt;Summary!$C$21,"Sample","-")</f>
        <v>-</v>
      </c>
    </row>
    <row r="12" spans="2:14" x14ac:dyDescent="0.2">
      <c r="B12" s="4" t="s">
        <v>174</v>
      </c>
      <c r="C12" s="4" t="s">
        <v>101</v>
      </c>
      <c r="D12" s="4" t="s">
        <v>102</v>
      </c>
      <c r="E12" s="4" t="s">
        <v>103</v>
      </c>
      <c r="F12" s="4" t="s">
        <v>104</v>
      </c>
      <c r="G12" s="1" t="s">
        <v>105</v>
      </c>
      <c r="H12" s="4" t="s">
        <v>106</v>
      </c>
      <c r="I12" s="4" t="s">
        <v>175</v>
      </c>
      <c r="J12" s="124">
        <v>45708</v>
      </c>
      <c r="K12" s="1" t="s">
        <v>120</v>
      </c>
      <c r="L12" s="8">
        <v>53990.89</v>
      </c>
      <c r="M12" s="165" t="str">
        <f>+IF(AP[[#This Row],[Total Deb./Cred.]]&gt;Summary!$C$21,"Sample","-")</f>
        <v>-</v>
      </c>
    </row>
    <row r="13" spans="2:14" x14ac:dyDescent="0.2">
      <c r="B13" s="4" t="s">
        <v>206</v>
      </c>
      <c r="C13" s="4" t="s">
        <v>101</v>
      </c>
      <c r="D13" s="4" t="s">
        <v>102</v>
      </c>
      <c r="E13" s="4" t="s">
        <v>103</v>
      </c>
      <c r="F13" s="4" t="s">
        <v>104</v>
      </c>
      <c r="G13" s="1" t="s">
        <v>105</v>
      </c>
      <c r="H13" s="4" t="s">
        <v>106</v>
      </c>
      <c r="I13" s="4" t="s">
        <v>207</v>
      </c>
      <c r="J13" s="124">
        <v>45713</v>
      </c>
      <c r="K13" s="1" t="s">
        <v>108</v>
      </c>
      <c r="L13" s="8">
        <v>45271.31</v>
      </c>
      <c r="M13" s="165" t="str">
        <f>+IF(AP[[#This Row],[Total Deb./Cred.]]&gt;Summary!$C$21,"Sample","-")</f>
        <v>-</v>
      </c>
    </row>
    <row r="14" spans="2:14" x14ac:dyDescent="0.2">
      <c r="B14" s="4" t="s">
        <v>192</v>
      </c>
      <c r="C14" s="4" t="s">
        <v>101</v>
      </c>
      <c r="D14" s="4" t="s">
        <v>102</v>
      </c>
      <c r="E14" s="4" t="s">
        <v>103</v>
      </c>
      <c r="F14" s="4" t="s">
        <v>104</v>
      </c>
      <c r="G14" s="1" t="s">
        <v>105</v>
      </c>
      <c r="H14" s="4" t="s">
        <v>106</v>
      </c>
      <c r="I14" s="4" t="s">
        <v>193</v>
      </c>
      <c r="J14" s="124">
        <v>45712</v>
      </c>
      <c r="K14" s="1" t="s">
        <v>108</v>
      </c>
      <c r="L14" s="8">
        <v>34268.519999999997</v>
      </c>
      <c r="M14" s="165" t="str">
        <f>+IF(AP[[#This Row],[Total Deb./Cred.]]&gt;Summary!$C$21,"Sample","-")</f>
        <v>-</v>
      </c>
    </row>
    <row r="15" spans="2:14" x14ac:dyDescent="0.2">
      <c r="B15" s="4" t="s">
        <v>184</v>
      </c>
      <c r="C15" s="4" t="s">
        <v>101</v>
      </c>
      <c r="D15" s="4" t="s">
        <v>102</v>
      </c>
      <c r="E15" s="4" t="s">
        <v>103</v>
      </c>
      <c r="F15" s="4" t="s">
        <v>104</v>
      </c>
      <c r="G15" s="1" t="s">
        <v>105</v>
      </c>
      <c r="H15" s="4" t="s">
        <v>106</v>
      </c>
      <c r="I15" s="4" t="s">
        <v>185</v>
      </c>
      <c r="J15" s="124">
        <v>45708</v>
      </c>
      <c r="K15" s="1" t="s">
        <v>120</v>
      </c>
      <c r="L15" s="8">
        <v>28888.61</v>
      </c>
      <c r="M15" s="165" t="str">
        <f>+IF(AP[[#This Row],[Total Deb./Cred.]]&gt;Summary!$C$21,"Sample","-")</f>
        <v>-</v>
      </c>
    </row>
    <row r="16" spans="2:14" x14ac:dyDescent="0.2">
      <c r="B16" s="4" t="s">
        <v>190</v>
      </c>
      <c r="C16" s="4" t="s">
        <v>101</v>
      </c>
      <c r="D16" s="4" t="s">
        <v>102</v>
      </c>
      <c r="E16" s="4" t="s">
        <v>103</v>
      </c>
      <c r="F16" s="4" t="s">
        <v>104</v>
      </c>
      <c r="G16" s="1" t="s">
        <v>105</v>
      </c>
      <c r="H16" s="4" t="s">
        <v>106</v>
      </c>
      <c r="I16" s="4" t="s">
        <v>191</v>
      </c>
      <c r="J16" s="124">
        <v>45712</v>
      </c>
      <c r="K16" s="1" t="s">
        <v>108</v>
      </c>
      <c r="L16" s="8">
        <v>28349.41</v>
      </c>
      <c r="M16" s="165" t="str">
        <f>+IF(AP[[#This Row],[Total Deb./Cred.]]&gt;Summary!$C$21,"Sample","-")</f>
        <v>-</v>
      </c>
    </row>
    <row r="17" spans="2:13" x14ac:dyDescent="0.2">
      <c r="B17" s="4" t="s">
        <v>157</v>
      </c>
      <c r="C17" s="4" t="s">
        <v>101</v>
      </c>
      <c r="D17" s="4" t="s">
        <v>102</v>
      </c>
      <c r="E17" s="4" t="s">
        <v>103</v>
      </c>
      <c r="F17" s="4" t="s">
        <v>104</v>
      </c>
      <c r="G17" s="1" t="s">
        <v>105</v>
      </c>
      <c r="H17" s="4" t="s">
        <v>106</v>
      </c>
      <c r="I17" s="4" t="s">
        <v>158</v>
      </c>
      <c r="J17" s="124">
        <v>45692</v>
      </c>
      <c r="K17" s="1" t="s">
        <v>108</v>
      </c>
      <c r="L17" s="8">
        <v>26994.14</v>
      </c>
      <c r="M17" s="165" t="str">
        <f>+IF(AP[[#This Row],[Total Deb./Cred.]]&gt;Summary!$C$21,"Sample","-")</f>
        <v>-</v>
      </c>
    </row>
    <row r="18" spans="2:13" x14ac:dyDescent="0.2">
      <c r="B18" s="4" t="s">
        <v>186</v>
      </c>
      <c r="C18" s="4" t="s">
        <v>101</v>
      </c>
      <c r="D18" s="4" t="s">
        <v>102</v>
      </c>
      <c r="E18" s="4" t="s">
        <v>103</v>
      </c>
      <c r="F18" s="4" t="s">
        <v>104</v>
      </c>
      <c r="G18" s="1" t="s">
        <v>105</v>
      </c>
      <c r="H18" s="4" t="s">
        <v>106</v>
      </c>
      <c r="I18" s="4" t="s">
        <v>187</v>
      </c>
      <c r="J18" s="124">
        <v>45708</v>
      </c>
      <c r="K18" s="1" t="s">
        <v>120</v>
      </c>
      <c r="L18" s="8">
        <v>25848.560000000001</v>
      </c>
      <c r="M18" s="165" t="str">
        <f>+IF(AP[[#This Row],[Total Deb./Cred.]]&gt;Summary!$C$21,"Sample","-")</f>
        <v>-</v>
      </c>
    </row>
    <row r="19" spans="2:13" x14ac:dyDescent="0.2">
      <c r="B19" s="4" t="s">
        <v>204</v>
      </c>
      <c r="C19" s="4" t="s">
        <v>101</v>
      </c>
      <c r="D19" s="4" t="s">
        <v>102</v>
      </c>
      <c r="E19" s="4" t="s">
        <v>103</v>
      </c>
      <c r="F19" s="4" t="s">
        <v>104</v>
      </c>
      <c r="G19" s="1" t="s">
        <v>105</v>
      </c>
      <c r="H19" s="4" t="s">
        <v>106</v>
      </c>
      <c r="I19" s="4" t="s">
        <v>205</v>
      </c>
      <c r="J19" s="124">
        <v>45713</v>
      </c>
      <c r="K19" s="1" t="s">
        <v>108</v>
      </c>
      <c r="L19" s="8">
        <v>24798.25</v>
      </c>
      <c r="M19" s="165" t="str">
        <f>+IF(AP[[#This Row],[Total Deb./Cred.]]&gt;Summary!$C$21,"Sample","-")</f>
        <v>-</v>
      </c>
    </row>
    <row r="20" spans="2:13" x14ac:dyDescent="0.2">
      <c r="B20" s="4" t="s">
        <v>198</v>
      </c>
      <c r="C20" s="4" t="s">
        <v>101</v>
      </c>
      <c r="D20" s="4" t="s">
        <v>102</v>
      </c>
      <c r="E20" s="4" t="s">
        <v>103</v>
      </c>
      <c r="F20" s="4" t="s">
        <v>104</v>
      </c>
      <c r="G20" s="1" t="s">
        <v>105</v>
      </c>
      <c r="H20" s="4" t="s">
        <v>106</v>
      </c>
      <c r="I20" s="4" t="s">
        <v>199</v>
      </c>
      <c r="J20" s="124">
        <v>45712</v>
      </c>
      <c r="K20" s="1" t="s">
        <v>108</v>
      </c>
      <c r="L20" s="8">
        <v>24090.400000000001</v>
      </c>
      <c r="M20" s="165" t="str">
        <f>+IF(AP[[#This Row],[Total Deb./Cred.]]&gt;Summary!$C$21,"Sample","-")</f>
        <v>-</v>
      </c>
    </row>
    <row r="21" spans="2:13" x14ac:dyDescent="0.2">
      <c r="B21" s="4" t="s">
        <v>194</v>
      </c>
      <c r="C21" s="4" t="s">
        <v>101</v>
      </c>
      <c r="D21" s="4" t="s">
        <v>102</v>
      </c>
      <c r="E21" s="4" t="s">
        <v>103</v>
      </c>
      <c r="F21" s="4" t="s">
        <v>104</v>
      </c>
      <c r="G21" s="1" t="s">
        <v>105</v>
      </c>
      <c r="H21" s="4" t="s">
        <v>106</v>
      </c>
      <c r="I21" s="4" t="s">
        <v>195</v>
      </c>
      <c r="J21" s="124">
        <v>45712</v>
      </c>
      <c r="K21" s="1" t="s">
        <v>108</v>
      </c>
      <c r="L21" s="8">
        <v>23975.7</v>
      </c>
      <c r="M21" s="165" t="str">
        <f>+IF(AP[[#This Row],[Total Deb./Cred.]]&gt;Summary!$C$21,"Sample","-")</f>
        <v>-</v>
      </c>
    </row>
    <row r="22" spans="2:13" x14ac:dyDescent="0.2">
      <c r="B22" s="4" t="s">
        <v>164</v>
      </c>
      <c r="C22" s="4" t="s">
        <v>101</v>
      </c>
      <c r="D22" s="4" t="s">
        <v>102</v>
      </c>
      <c r="E22" s="4" t="s">
        <v>103</v>
      </c>
      <c r="F22" s="4" t="s">
        <v>104</v>
      </c>
      <c r="G22" s="1" t="s">
        <v>105</v>
      </c>
      <c r="H22" s="4" t="s">
        <v>106</v>
      </c>
      <c r="I22" s="4" t="s">
        <v>165</v>
      </c>
      <c r="J22" s="124">
        <v>45698</v>
      </c>
      <c r="K22" s="1" t="s">
        <v>108</v>
      </c>
      <c r="L22" s="8">
        <v>23002.98</v>
      </c>
      <c r="M22" s="165" t="str">
        <f>+IF(AP[[#This Row],[Total Deb./Cred.]]&gt;Summary!$C$21,"Sample","-")</f>
        <v>-</v>
      </c>
    </row>
    <row r="23" spans="2:13" x14ac:dyDescent="0.2">
      <c r="B23" s="4" t="s">
        <v>196</v>
      </c>
      <c r="C23" s="4" t="s">
        <v>101</v>
      </c>
      <c r="D23" s="4" t="s">
        <v>102</v>
      </c>
      <c r="E23" s="4" t="s">
        <v>103</v>
      </c>
      <c r="F23" s="4" t="s">
        <v>104</v>
      </c>
      <c r="G23" s="1" t="s">
        <v>105</v>
      </c>
      <c r="H23" s="4" t="s">
        <v>106</v>
      </c>
      <c r="I23" s="4" t="s">
        <v>197</v>
      </c>
      <c r="J23" s="124">
        <v>45712</v>
      </c>
      <c r="K23" s="1" t="s">
        <v>108</v>
      </c>
      <c r="L23" s="8">
        <v>22617.119999999999</v>
      </c>
      <c r="M23" s="165" t="str">
        <f>+IF(AP[[#This Row],[Total Deb./Cred.]]&gt;Summary!$C$21,"Sample","-")</f>
        <v>-</v>
      </c>
    </row>
    <row r="24" spans="2:13" x14ac:dyDescent="0.2">
      <c r="B24" s="4" t="s">
        <v>160</v>
      </c>
      <c r="C24" s="4" t="s">
        <v>101</v>
      </c>
      <c r="D24" s="4" t="s">
        <v>102</v>
      </c>
      <c r="E24" s="4" t="s">
        <v>103</v>
      </c>
      <c r="F24" s="4" t="s">
        <v>104</v>
      </c>
      <c r="G24" s="1" t="s">
        <v>105</v>
      </c>
      <c r="H24" s="4" t="s">
        <v>106</v>
      </c>
      <c r="I24" s="4" t="s">
        <v>161</v>
      </c>
      <c r="J24" s="124">
        <v>45694</v>
      </c>
      <c r="K24" s="1" t="s">
        <v>108</v>
      </c>
      <c r="L24" s="8">
        <v>19886.27</v>
      </c>
      <c r="M24" s="165" t="str">
        <f>+IF(AP[[#This Row],[Total Deb./Cred.]]&gt;Summary!$C$21,"Sample","-")</f>
        <v>-</v>
      </c>
    </row>
    <row r="25" spans="2:13" x14ac:dyDescent="0.2">
      <c r="B25" s="4" t="s">
        <v>210</v>
      </c>
      <c r="C25" s="4" t="s">
        <v>101</v>
      </c>
      <c r="D25" s="4" t="s">
        <v>102</v>
      </c>
      <c r="E25" s="4" t="s">
        <v>103</v>
      </c>
      <c r="F25" s="4" t="s">
        <v>104</v>
      </c>
      <c r="G25" s="1" t="s">
        <v>105</v>
      </c>
      <c r="H25" s="4" t="s">
        <v>106</v>
      </c>
      <c r="I25" s="4" t="s">
        <v>211</v>
      </c>
      <c r="J25" s="124">
        <v>45716</v>
      </c>
      <c r="K25" s="1" t="s">
        <v>108</v>
      </c>
      <c r="L25" s="8">
        <v>18931.560000000001</v>
      </c>
      <c r="M25" s="165" t="str">
        <f>+IF(AP[[#This Row],[Total Deb./Cred.]]&gt;Summary!$C$21,"Sample","-")</f>
        <v>-</v>
      </c>
    </row>
    <row r="26" spans="2:13" x14ac:dyDescent="0.2">
      <c r="B26" s="4" t="s">
        <v>208</v>
      </c>
      <c r="C26" s="4" t="s">
        <v>101</v>
      </c>
      <c r="D26" s="4" t="s">
        <v>102</v>
      </c>
      <c r="E26" s="4" t="s">
        <v>103</v>
      </c>
      <c r="F26" s="4" t="s">
        <v>104</v>
      </c>
      <c r="G26" s="1" t="s">
        <v>105</v>
      </c>
      <c r="H26" s="4" t="s">
        <v>106</v>
      </c>
      <c r="I26" s="4" t="s">
        <v>209</v>
      </c>
      <c r="J26" s="124">
        <v>45714</v>
      </c>
      <c r="K26" s="1" t="s">
        <v>108</v>
      </c>
      <c r="L26" s="8">
        <v>13852.31</v>
      </c>
      <c r="M26" s="165" t="str">
        <f>+IF(AP[[#This Row],[Total Deb./Cred.]]&gt;Summary!$C$21,"Sample","-")</f>
        <v>-</v>
      </c>
    </row>
    <row r="27" spans="2:13" x14ac:dyDescent="0.2">
      <c r="B27" s="4" t="s">
        <v>162</v>
      </c>
      <c r="C27" s="4" t="s">
        <v>101</v>
      </c>
      <c r="D27" s="4" t="s">
        <v>102</v>
      </c>
      <c r="E27" s="4" t="s">
        <v>103</v>
      </c>
      <c r="F27" s="4" t="s">
        <v>104</v>
      </c>
      <c r="G27" s="1" t="s">
        <v>105</v>
      </c>
      <c r="H27" s="4" t="s">
        <v>106</v>
      </c>
      <c r="I27" s="4" t="s">
        <v>163</v>
      </c>
      <c r="J27" s="124">
        <v>45694</v>
      </c>
      <c r="K27" s="1" t="s">
        <v>108</v>
      </c>
      <c r="L27" s="8">
        <v>13101.84</v>
      </c>
      <c r="M27" s="165" t="str">
        <f>+IF(AP[[#This Row],[Total Deb./Cred.]]&gt;Summary!$C$21,"Sample","-")</f>
        <v>-</v>
      </c>
    </row>
    <row r="28" spans="2:13" x14ac:dyDescent="0.2">
      <c r="B28" s="4" t="s">
        <v>176</v>
      </c>
      <c r="C28" s="4" t="s">
        <v>101</v>
      </c>
      <c r="D28" s="4" t="s">
        <v>102</v>
      </c>
      <c r="E28" s="4" t="s">
        <v>103</v>
      </c>
      <c r="F28" s="4" t="s">
        <v>104</v>
      </c>
      <c r="G28" s="1" t="s">
        <v>105</v>
      </c>
      <c r="H28" s="4" t="s">
        <v>106</v>
      </c>
      <c r="I28" s="4" t="s">
        <v>177</v>
      </c>
      <c r="J28" s="124">
        <v>45708</v>
      </c>
      <c r="K28" s="1" t="s">
        <v>120</v>
      </c>
      <c r="L28" s="8">
        <v>12666.58</v>
      </c>
      <c r="M28" s="165" t="str">
        <f>+IF(AP[[#This Row],[Total Deb./Cred.]]&gt;Summary!$C$21,"Sample","-")</f>
        <v>-</v>
      </c>
    </row>
    <row r="29" spans="2:13" x14ac:dyDescent="0.2">
      <c r="B29" s="4" t="s">
        <v>200</v>
      </c>
      <c r="C29" s="4" t="s">
        <v>101</v>
      </c>
      <c r="D29" s="4" t="s">
        <v>102</v>
      </c>
      <c r="E29" s="4" t="s">
        <v>103</v>
      </c>
      <c r="F29" s="4" t="s">
        <v>104</v>
      </c>
      <c r="G29" s="1" t="s">
        <v>105</v>
      </c>
      <c r="H29" s="4" t="s">
        <v>106</v>
      </c>
      <c r="I29" s="4" t="s">
        <v>201</v>
      </c>
      <c r="J29" s="124">
        <v>45712</v>
      </c>
      <c r="K29" s="1" t="s">
        <v>108</v>
      </c>
      <c r="L29" s="8">
        <v>10707.96</v>
      </c>
      <c r="M29" s="165" t="str">
        <f>+IF(AP[[#This Row],[Total Deb./Cred.]]&gt;Summary!$C$21,"Sample","-")</f>
        <v>-</v>
      </c>
    </row>
    <row r="30" spans="2:13" x14ac:dyDescent="0.2">
      <c r="B30" s="4" t="s">
        <v>182</v>
      </c>
      <c r="C30" s="4" t="s">
        <v>101</v>
      </c>
      <c r="D30" s="4" t="s">
        <v>102</v>
      </c>
      <c r="E30" s="4" t="s">
        <v>103</v>
      </c>
      <c r="F30" s="4" t="s">
        <v>104</v>
      </c>
      <c r="G30" s="1" t="s">
        <v>105</v>
      </c>
      <c r="H30" s="4" t="s">
        <v>106</v>
      </c>
      <c r="I30" s="4" t="s">
        <v>183</v>
      </c>
      <c r="J30" s="124">
        <v>45708</v>
      </c>
      <c r="K30" s="1" t="s">
        <v>120</v>
      </c>
      <c r="L30" s="8">
        <v>10515.65</v>
      </c>
      <c r="M30" s="165" t="str">
        <f>+IF(AP[[#This Row],[Total Deb./Cred.]]&gt;Summary!$C$21,"Sample","-")</f>
        <v>-</v>
      </c>
    </row>
    <row r="31" spans="2:13" x14ac:dyDescent="0.2">
      <c r="B31" s="4" t="s">
        <v>170</v>
      </c>
      <c r="C31" s="4" t="s">
        <v>101</v>
      </c>
      <c r="D31" s="4" t="s">
        <v>102</v>
      </c>
      <c r="E31" s="4" t="s">
        <v>103</v>
      </c>
      <c r="F31" s="4" t="s">
        <v>104</v>
      </c>
      <c r="G31" s="1" t="s">
        <v>105</v>
      </c>
      <c r="H31" s="4" t="s">
        <v>106</v>
      </c>
      <c r="I31" s="4" t="s">
        <v>171</v>
      </c>
      <c r="J31" s="124">
        <v>45699</v>
      </c>
      <c r="K31" s="1" t="s">
        <v>108</v>
      </c>
      <c r="L31" s="8">
        <v>8324.33</v>
      </c>
      <c r="M31" s="165" t="str">
        <f>+IF(AP[[#This Row],[Total Deb./Cred.]]&gt;Summary!$C$21,"Sample","-")</f>
        <v>-</v>
      </c>
    </row>
    <row r="32" spans="2:13" x14ac:dyDescent="0.2">
      <c r="B32" s="4" t="s">
        <v>180</v>
      </c>
      <c r="C32" s="4" t="s">
        <v>101</v>
      </c>
      <c r="D32" s="4" t="s">
        <v>102</v>
      </c>
      <c r="E32" s="4" t="s">
        <v>103</v>
      </c>
      <c r="F32" s="4" t="s">
        <v>104</v>
      </c>
      <c r="G32" s="1" t="s">
        <v>105</v>
      </c>
      <c r="H32" s="4" t="s">
        <v>106</v>
      </c>
      <c r="I32" s="4" t="s">
        <v>181</v>
      </c>
      <c r="J32" s="124">
        <v>45708</v>
      </c>
      <c r="K32" s="1" t="s">
        <v>120</v>
      </c>
      <c r="L32" s="8">
        <v>8209.82</v>
      </c>
      <c r="M32" s="165" t="str">
        <f>+IF(AP[[#This Row],[Total Deb./Cred.]]&gt;Summary!$C$21,"Sample","-")</f>
        <v>-</v>
      </c>
    </row>
    <row r="33" spans="2:13" x14ac:dyDescent="0.2">
      <c r="B33" s="4" t="s">
        <v>202</v>
      </c>
      <c r="C33" s="4" t="s">
        <v>101</v>
      </c>
      <c r="D33" s="4" t="s">
        <v>102</v>
      </c>
      <c r="E33" s="4" t="s">
        <v>103</v>
      </c>
      <c r="F33" s="4" t="s">
        <v>104</v>
      </c>
      <c r="G33" s="1" t="s">
        <v>105</v>
      </c>
      <c r="H33" s="4" t="s">
        <v>106</v>
      </c>
      <c r="I33" s="4" t="s">
        <v>203</v>
      </c>
      <c r="J33" s="124">
        <v>45712</v>
      </c>
      <c r="K33" s="1" t="s">
        <v>108</v>
      </c>
      <c r="L33" s="8">
        <v>7074.17</v>
      </c>
      <c r="M33" s="165" t="str">
        <f>+IF(AP[[#This Row],[Total Deb./Cred.]]&gt;Summary!$C$21,"Sample","-")</f>
        <v>-</v>
      </c>
    </row>
    <row r="34" spans="2:13" x14ac:dyDescent="0.2">
      <c r="B34" s="4" t="s">
        <v>178</v>
      </c>
      <c r="C34" s="4" t="s">
        <v>101</v>
      </c>
      <c r="D34" s="4" t="s">
        <v>102</v>
      </c>
      <c r="E34" s="4" t="s">
        <v>103</v>
      </c>
      <c r="F34" s="4" t="s">
        <v>104</v>
      </c>
      <c r="G34" s="1" t="s">
        <v>105</v>
      </c>
      <c r="H34" s="4" t="s">
        <v>106</v>
      </c>
      <c r="I34" s="4" t="s">
        <v>179</v>
      </c>
      <c r="J34" s="124">
        <v>45708</v>
      </c>
      <c r="K34" s="1" t="s">
        <v>120</v>
      </c>
      <c r="L34" s="8">
        <v>6222.95</v>
      </c>
      <c r="M34" s="165" t="str">
        <f>+IF(AP[[#This Row],[Total Deb./Cred.]]&gt;Summary!$C$21,"Sample","-")</f>
        <v>-</v>
      </c>
    </row>
    <row r="35" spans="2:13" x14ac:dyDescent="0.2">
      <c r="B35" s="4" t="s">
        <v>217</v>
      </c>
      <c r="C35" s="4" t="s">
        <v>147</v>
      </c>
      <c r="D35" s="4" t="s">
        <v>102</v>
      </c>
      <c r="E35" s="4" t="s">
        <v>143</v>
      </c>
      <c r="F35" s="4" t="s">
        <v>104</v>
      </c>
      <c r="G35" s="1" t="s">
        <v>105</v>
      </c>
      <c r="H35" s="4" t="s">
        <v>106</v>
      </c>
      <c r="I35" s="4" t="s">
        <v>218</v>
      </c>
      <c r="J35" s="124">
        <v>45700</v>
      </c>
      <c r="L35" s="8">
        <v>5110.2700000000004</v>
      </c>
      <c r="M35" s="165" t="str">
        <f>+IF(AP[[#This Row],[Total Deb./Cred.]]&gt;Summary!$C$21,"Sample","-")</f>
        <v>-</v>
      </c>
    </row>
    <row r="36" spans="2:13" x14ac:dyDescent="0.2">
      <c r="B36" s="4" t="s">
        <v>166</v>
      </c>
      <c r="C36" s="4" t="s">
        <v>101</v>
      </c>
      <c r="D36" s="4" t="s">
        <v>102</v>
      </c>
      <c r="E36" s="4" t="s">
        <v>103</v>
      </c>
      <c r="F36" s="4" t="s">
        <v>104</v>
      </c>
      <c r="G36" s="1" t="s">
        <v>105</v>
      </c>
      <c r="H36" s="4" t="s">
        <v>106</v>
      </c>
      <c r="I36" s="4" t="s">
        <v>167</v>
      </c>
      <c r="J36" s="124">
        <v>45699</v>
      </c>
      <c r="K36" s="1" t="s">
        <v>108</v>
      </c>
      <c r="L36" s="8">
        <v>3207.17</v>
      </c>
      <c r="M36" s="165" t="str">
        <f>+IF(AP[[#This Row],[Total Deb./Cred.]]&gt;Summary!$C$21,"Sample","-")</f>
        <v>-</v>
      </c>
    </row>
    <row r="37" spans="2:13" x14ac:dyDescent="0.2">
      <c r="B37" s="4" t="s">
        <v>219</v>
      </c>
      <c r="C37" s="4" t="s">
        <v>147</v>
      </c>
      <c r="D37" s="4" t="s">
        <v>102</v>
      </c>
      <c r="E37" s="4" t="s">
        <v>143</v>
      </c>
      <c r="F37" s="4" t="s">
        <v>104</v>
      </c>
      <c r="G37" s="1" t="s">
        <v>105</v>
      </c>
      <c r="H37" s="4" t="s">
        <v>106</v>
      </c>
      <c r="I37" s="4" t="s">
        <v>220</v>
      </c>
      <c r="J37" s="124">
        <v>45705</v>
      </c>
      <c r="L37" s="8">
        <v>1337.83</v>
      </c>
      <c r="M37" s="165" t="str">
        <f>+IF(AP[[#This Row],[Total Deb./Cred.]]&gt;Summary!$C$21,"Sample","-")</f>
        <v>-</v>
      </c>
    </row>
    <row r="38" spans="2:13" x14ac:dyDescent="0.2">
      <c r="B38" s="4" t="s">
        <v>168</v>
      </c>
      <c r="C38" s="4" t="s">
        <v>101</v>
      </c>
      <c r="D38" s="4" t="s">
        <v>102</v>
      </c>
      <c r="E38" s="4" t="s">
        <v>103</v>
      </c>
      <c r="F38" s="4" t="s">
        <v>104</v>
      </c>
      <c r="G38" s="1" t="s">
        <v>105</v>
      </c>
      <c r="H38" s="4" t="s">
        <v>106</v>
      </c>
      <c r="I38" s="4" t="s">
        <v>169</v>
      </c>
      <c r="J38" s="124">
        <v>45699</v>
      </c>
      <c r="K38" s="1" t="s">
        <v>108</v>
      </c>
      <c r="L38" s="8">
        <v>1199.78</v>
      </c>
      <c r="M38" s="165" t="str">
        <f>+IF(AP[[#This Row],[Total Deb./Cred.]]&gt;Summary!$C$21,"Sample","-")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4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2" style="1" customWidth="1"/>
    <col min="2" max="2" width="38.28515625" style="1" bestFit="1" customWidth="1"/>
    <col min="3" max="3" width="10.7109375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4.2851562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44</v>
      </c>
      <c r="C2" s="143"/>
      <c r="D2" s="143"/>
      <c r="E2" s="146" t="s">
        <v>70</v>
      </c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51</v>
      </c>
      <c r="C4" s="148"/>
      <c r="D4" s="148"/>
      <c r="E4" s="148"/>
      <c r="F4" s="149"/>
      <c r="H4" s="150" t="s">
        <v>41</v>
      </c>
      <c r="I4" s="151"/>
      <c r="J4" s="151"/>
      <c r="K4" s="152"/>
      <c r="L4" s="1"/>
      <c r="M4" s="153" t="s">
        <v>45</v>
      </c>
      <c r="N4" s="154"/>
      <c r="O4" s="154"/>
      <c r="P4" s="155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63</v>
      </c>
      <c r="F5" s="67" t="s">
        <v>47</v>
      </c>
      <c r="G5" s="43"/>
      <c r="H5" s="94" t="s">
        <v>46</v>
      </c>
      <c r="I5" s="95" t="s">
        <v>47</v>
      </c>
      <c r="J5" s="95" t="s">
        <v>63</v>
      </c>
      <c r="K5" s="96" t="s">
        <v>47</v>
      </c>
      <c r="M5" s="91" t="s">
        <v>46</v>
      </c>
      <c r="N5" s="92" t="s">
        <v>47</v>
      </c>
      <c r="O5" s="92" t="s">
        <v>63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1</v>
      </c>
      <c r="D6" s="57">
        <f>+C6/$C$11</f>
        <v>3.125E-2</v>
      </c>
      <c r="E6" s="58">
        <f>+Under_Control!M3</f>
        <v>6062778.3799999999</v>
      </c>
      <c r="F6" s="69">
        <f>+E6/$E$11</f>
        <v>0.76870434214430583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69</v>
      </c>
      <c r="C7" s="53">
        <f>+AR!L3</f>
        <v>0</v>
      </c>
      <c r="D7" s="54">
        <f>+C7/$C$9</f>
        <v>0</v>
      </c>
      <c r="E7" s="55">
        <f>+AR!L5</f>
        <v>0</v>
      </c>
      <c r="F7" s="71">
        <f>+E7/$E$9</f>
        <v>0</v>
      </c>
      <c r="G7" s="43"/>
      <c r="H7" s="89">
        <f>+AR!M3</f>
        <v>0</v>
      </c>
      <c r="I7" s="54" t="e">
        <f>+H7/$C7</f>
        <v>#DIV/0!</v>
      </c>
      <c r="J7" s="62">
        <f>+AR!M5</f>
        <v>0</v>
      </c>
      <c r="K7" s="82" t="e">
        <f>+J7/$E7</f>
        <v>#DIV/0!</v>
      </c>
      <c r="M7" s="81">
        <f>+C7-H7</f>
        <v>0</v>
      </c>
      <c r="N7" s="54" t="e">
        <f>+M7/C7</f>
        <v>#DIV/0!</v>
      </c>
      <c r="O7" s="62">
        <f>+E7-J7</f>
        <v>0</v>
      </c>
      <c r="P7" s="82" t="e">
        <f>+O7/$E7</f>
        <v>#DIV/0!</v>
      </c>
    </row>
    <row r="8" spans="2:16" ht="18.600000000000001" customHeight="1" x14ac:dyDescent="0.2">
      <c r="B8" s="72" t="s">
        <v>68</v>
      </c>
      <c r="C8" s="59">
        <f>+AP!L3</f>
        <v>31</v>
      </c>
      <c r="D8" s="60">
        <f>+C8/$C$9</f>
        <v>1</v>
      </c>
      <c r="E8" s="61">
        <f>+AP!L5</f>
        <v>1824231.0300000003</v>
      </c>
      <c r="F8" s="73">
        <f>+E8/$E$9</f>
        <v>1</v>
      </c>
      <c r="G8" s="43"/>
      <c r="H8" s="90">
        <f>+AP!M3</f>
        <v>2</v>
      </c>
      <c r="I8" s="60">
        <f>+H8/$C8</f>
        <v>6.4516129032258063E-2</v>
      </c>
      <c r="J8" s="64">
        <f>+AP!M5</f>
        <v>1207158.1600000001</v>
      </c>
      <c r="K8" s="84">
        <f>+J8/$E8</f>
        <v>0.66173535048354049</v>
      </c>
      <c r="L8" s="44"/>
      <c r="M8" s="83">
        <f>+C8-H8</f>
        <v>29</v>
      </c>
      <c r="N8" s="60">
        <f t="shared" ref="N8:N9" si="0">+M8/C8</f>
        <v>0.93548387096774188</v>
      </c>
      <c r="O8" s="64">
        <f>+E8-J8</f>
        <v>617072.87000000011</v>
      </c>
      <c r="P8" s="84">
        <f>+O8/$E8</f>
        <v>0.33826464951645957</v>
      </c>
    </row>
    <row r="9" spans="2:16" s="3" customFormat="1" ht="18.600000000000001" customHeight="1" thickBot="1" x14ac:dyDescent="0.25">
      <c r="B9" s="74" t="s">
        <v>49</v>
      </c>
      <c r="C9" s="75">
        <f>SUM(C7:C8)</f>
        <v>31</v>
      </c>
      <c r="D9" s="76">
        <f>+C9/$C$11</f>
        <v>0.96875</v>
      </c>
      <c r="E9" s="77">
        <f>SUM(E7:E8)</f>
        <v>1824231.0300000003</v>
      </c>
      <c r="F9" s="78">
        <f>+E9/$E$11</f>
        <v>0.23129565785569414</v>
      </c>
      <c r="G9" s="45"/>
      <c r="H9" s="97">
        <f>SUM(H7:H8)</f>
        <v>2</v>
      </c>
      <c r="I9" s="98">
        <f>+H9/$C9</f>
        <v>6.4516129032258063E-2</v>
      </c>
      <c r="J9" s="99">
        <f>SUM(J7:J8)</f>
        <v>1207158.1600000001</v>
      </c>
      <c r="K9" s="100">
        <f>+J9/$E9</f>
        <v>0.66173535048354049</v>
      </c>
      <c r="L9" s="44"/>
      <c r="M9" s="85">
        <f>SUM(M7:M8)</f>
        <v>29</v>
      </c>
      <c r="N9" s="86">
        <f t="shared" si="0"/>
        <v>0.93548387096774188</v>
      </c>
      <c r="O9" s="87">
        <f>SUM(O7:O8)</f>
        <v>617072.87000000011</v>
      </c>
      <c r="P9" s="88">
        <f>+O9/$E9</f>
        <v>0.33826464951645957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32</v>
      </c>
      <c r="D11" s="50" t="s">
        <v>36</v>
      </c>
      <c r="E11" s="51">
        <f>+E9+E6</f>
        <v>7887009.4100000001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+O9&lt;2000000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0</v>
      </c>
    </row>
    <row r="14" spans="2:16" ht="7.9" customHeight="1" x14ac:dyDescent="0.2"/>
    <row r="19" spans="2:6" ht="12.75" x14ac:dyDescent="0.2">
      <c r="B19" s="112" t="s">
        <v>66</v>
      </c>
      <c r="C19" s="42"/>
      <c r="D19" s="42"/>
      <c r="E19" s="42"/>
      <c r="F19" s="42"/>
    </row>
    <row r="20" spans="2:6" ht="12.75" thickBot="1" x14ac:dyDescent="0.25"/>
    <row r="21" spans="2:6" ht="12.75" thickBot="1" x14ac:dyDescent="0.25">
      <c r="B21" s="108" t="s">
        <v>67</v>
      </c>
      <c r="C21" s="109">
        <v>100000</v>
      </c>
      <c r="D21" s="110" t="s">
        <v>63</v>
      </c>
    </row>
    <row r="24" spans="2:6" x14ac:dyDescent="0.2">
      <c r="B24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42" priority="7" operator="containsText" text="TRUE">
      <formula>NOT(ISERROR(SEARCH("TRUE",C13)))</formula>
    </cfRule>
  </conditionalFormatting>
  <conditionalFormatting sqref="E13:F13">
    <cfRule type="containsText" dxfId="41" priority="5" operator="containsText" text="TRUE">
      <formula>NOT(ISERROR(SEARCH("TRUE",E13)))</formula>
    </cfRule>
  </conditionalFormatting>
  <conditionalFormatting sqref="H11">
    <cfRule type="containsText" dxfId="40" priority="4" operator="containsText" text="TRUE">
      <formula>NOT(ISERROR(SEARCH("TRUE",H11)))</formula>
    </cfRule>
  </conditionalFormatting>
  <conditionalFormatting sqref="H7:K8">
    <cfRule type="cellIs" dxfId="39" priority="15" operator="equal">
      <formula>0</formula>
    </cfRule>
  </conditionalFormatting>
  <conditionalFormatting sqref="J11:K11">
    <cfRule type="containsText" dxfId="38" priority="2" operator="containsText" text="TRUE">
      <formula>NOT(ISERROR(SEARCH("TRUE",J11)))</formula>
    </cfRule>
  </conditionalFormatting>
  <conditionalFormatting sqref="M11">
    <cfRule type="containsText" dxfId="37" priority="1" operator="containsText" text="TRUE">
      <formula>NOT(ISERROR(SEARCH("TRUE",M11)))</formula>
    </cfRule>
  </conditionalFormatting>
  <conditionalFormatting sqref="O11">
    <cfRule type="containsText" dxfId="36" priority="16" operator="containsText" text="FALSE">
      <formula>NOT(ISERROR(SEARCH("FALSE",O11)))</formula>
    </cfRule>
    <cfRule type="containsText" dxfId="35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9"/>
  <sheetViews>
    <sheetView showGridLines="0" zoomScale="90" zoomScaleNormal="90" workbookViewId="0">
      <pane xSplit="11" topLeftCell="V1" activePane="topRight" state="frozen"/>
      <selection pane="topRight" activeCell="X12" sqref="X12"/>
    </sheetView>
  </sheetViews>
  <sheetFormatPr defaultColWidth="8.85546875" defaultRowHeight="12" x14ac:dyDescent="0.2"/>
  <cols>
    <col min="1" max="1" width="3" style="1" customWidth="1"/>
    <col min="2" max="2" width="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9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2.5703125" style="133" bestFit="1" customWidth="1"/>
    <col min="25" max="25" width="29.7109375" style="140" customWidth="1"/>
    <col min="26" max="26" width="20.85546875" style="133" bestFit="1" customWidth="1"/>
    <col min="27" max="27" width="33.85546875" style="140" customWidth="1"/>
    <col min="28" max="16384" width="8.85546875" style="1"/>
  </cols>
  <sheetData>
    <row r="1" spans="2:27" s="9" customFormat="1" ht="21.6" customHeight="1" x14ac:dyDescent="0.3">
      <c r="C1" s="10" t="s">
        <v>73</v>
      </c>
      <c r="D1" s="10"/>
      <c r="E1" s="10"/>
      <c r="F1" s="10"/>
      <c r="G1" s="10"/>
      <c r="H1" s="10"/>
      <c r="I1" s="12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6"/>
      <c r="Y1" s="138"/>
      <c r="Z1" s="132"/>
      <c r="AA1" s="141"/>
    </row>
    <row r="3" spans="2:27" x14ac:dyDescent="0.2">
      <c r="K3" s="29">
        <f>+SUM(AR_To_Analyze[[#All],[Total Deb./Cred.]])</f>
        <v>0</v>
      </c>
      <c r="T3" s="29">
        <f>+SUM(AR_To_Analyze[[#All],[   Debit amount]])</f>
        <v>0</v>
      </c>
      <c r="U3" s="29">
        <f>+SUM(AR_To_Analyze[[#All],[  Credit amount]])</f>
        <v>0</v>
      </c>
      <c r="V3" s="29"/>
      <c r="W3" s="29"/>
      <c r="X3" s="137"/>
      <c r="Y3" s="139"/>
    </row>
    <row r="4" spans="2:27" ht="4.1500000000000004" customHeight="1" thickBot="1" x14ac:dyDescent="0.25"/>
    <row r="5" spans="2:27" ht="12.75" thickBot="1" x14ac:dyDescent="0.25">
      <c r="B5" s="142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29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4" t="s">
        <v>97</v>
      </c>
      <c r="Y5" s="134" t="s">
        <v>98</v>
      </c>
      <c r="Z5" s="131" t="s">
        <v>99</v>
      </c>
      <c r="AA5" s="135" t="s">
        <v>100</v>
      </c>
    </row>
    <row r="6" spans="2:27" ht="15.75" thickBot="1" x14ac:dyDescent="0.3">
      <c r="B6" s="197">
        <v>1</v>
      </c>
      <c r="C6" s="187"/>
      <c r="D6" s="187"/>
      <c r="E6" s="187"/>
      <c r="F6" s="187"/>
      <c r="G6" s="187"/>
      <c r="H6" s="188"/>
      <c r="I6" s="189"/>
      <c r="J6" s="190"/>
      <c r="K6" s="191"/>
      <c r="L6" s="187"/>
      <c r="M6" s="190"/>
      <c r="N6" s="192"/>
      <c r="O6" s="192"/>
      <c r="P6" s="190"/>
      <c r="Q6" s="190"/>
      <c r="R6" s="190"/>
      <c r="S6" s="190"/>
      <c r="T6" s="190"/>
      <c r="U6" s="190"/>
      <c r="V6" s="193"/>
      <c r="W6" s="193"/>
      <c r="X6" s="198"/>
      <c r="Y6" s="199"/>
      <c r="Z6" s="198"/>
      <c r="AA6" s="200"/>
    </row>
    <row r="7" spans="2:27" ht="12.75" thickTop="1" x14ac:dyDescent="0.2">
      <c r="C7" s="4"/>
      <c r="D7" s="4"/>
      <c r="E7" s="4"/>
      <c r="F7" s="4"/>
      <c r="G7" s="4"/>
      <c r="H7" s="4"/>
      <c r="I7" s="124"/>
      <c r="K7" s="8"/>
      <c r="L7" s="4"/>
      <c r="V7" s="8"/>
      <c r="W7" s="8"/>
    </row>
    <row r="8" spans="2:27" x14ac:dyDescent="0.2">
      <c r="C8" s="4"/>
      <c r="D8" s="4"/>
      <c r="E8" s="4"/>
      <c r="F8" s="4"/>
      <c r="G8" s="4"/>
      <c r="H8" s="4"/>
      <c r="I8" s="124"/>
      <c r="K8" s="8"/>
      <c r="L8" s="4"/>
      <c r="V8" s="8"/>
      <c r="W8" s="8"/>
    </row>
    <row r="9" spans="2:27" x14ac:dyDescent="0.2">
      <c r="C9" s="4"/>
      <c r="D9" s="4"/>
      <c r="E9" s="4"/>
      <c r="F9" s="4"/>
      <c r="G9" s="4"/>
      <c r="H9" s="4"/>
      <c r="I9" s="124"/>
      <c r="K9" s="8"/>
      <c r="L9" s="4"/>
      <c r="V9" s="8"/>
      <c r="W9" s="8"/>
    </row>
  </sheetData>
  <phoneticPr fontId="17" type="noConversion"/>
  <conditionalFormatting sqref="X1:X4 X6:X1048576">
    <cfRule type="containsText" dxfId="34" priority="1" operator="containsText" text="WRONG">
      <formula>NOT(ISERROR(SEARCH("WRONG",X1)))</formula>
    </cfRule>
    <cfRule type="containsText" dxfId="33" priority="2" operator="containsText" text="CORRECT">
      <formula>NOT(ISERROR(SEARCH("CORRECT",X1)))</formula>
    </cfRule>
  </conditionalFormatting>
  <dataValidations count="1">
    <dataValidation type="list" allowBlank="1" showInputMessage="1" showErrorMessage="1" sqref="I17 X6:X1048576" xr:uid="{375F2592-7FB1-40E0-9794-410AFF54D270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14"/>
  <sheetViews>
    <sheetView showGridLines="0" zoomScale="90" zoomScaleNormal="90" workbookViewId="0">
      <pane xSplit="11" topLeftCell="W1" activePane="topRight" state="frozen"/>
      <selection pane="topRight" activeCell="W13" sqref="W13"/>
    </sheetView>
  </sheetViews>
  <sheetFormatPr defaultColWidth="8.85546875" defaultRowHeight="12" x14ac:dyDescent="0.2"/>
  <cols>
    <col min="1" max="1" width="2.85546875" style="1" customWidth="1"/>
    <col min="2" max="2" width="5.8554687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9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38.2851562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0.5703125" style="133" customWidth="1"/>
    <col min="25" max="25" width="22.28515625" style="140" customWidth="1"/>
    <col min="26" max="26" width="17" style="133" bestFit="1" customWidth="1"/>
    <col min="27" max="27" width="19.85546875" style="140" bestFit="1" customWidth="1"/>
    <col min="28" max="16384" width="8.85546875" style="1"/>
  </cols>
  <sheetData>
    <row r="1" spans="2:27" s="9" customFormat="1" ht="21.6" customHeight="1" x14ac:dyDescent="0.3">
      <c r="C1" s="10" t="s">
        <v>74</v>
      </c>
      <c r="D1" s="10"/>
      <c r="E1" s="10"/>
      <c r="F1" s="10"/>
      <c r="G1" s="10"/>
      <c r="H1" s="10"/>
      <c r="I1" s="12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6"/>
      <c r="Y1" s="138"/>
      <c r="Z1" s="132"/>
      <c r="AA1" s="141"/>
    </row>
    <row r="3" spans="2:27" x14ac:dyDescent="0.2">
      <c r="K3" s="29">
        <f>+SUM(AP_To_Analyze[[#All],[Total Deb./Cred.]])</f>
        <v>4828632.6400000006</v>
      </c>
      <c r="T3" s="29">
        <f>+SUM(AP_To_Analyze[[#All],[   Debit amount]])</f>
        <v>1207158.1600000001</v>
      </c>
      <c r="U3" s="29">
        <f>+SUM(AP_To_Analyze[[#All],[  Credit amount]])</f>
        <v>1207158.1599999999</v>
      </c>
      <c r="V3" s="29"/>
      <c r="W3" s="29"/>
      <c r="X3" s="137"/>
      <c r="Y3" s="139"/>
    </row>
    <row r="4" spans="2:27" ht="12.75" thickBot="1" x14ac:dyDescent="0.25"/>
    <row r="5" spans="2:27" ht="24.75" thickBot="1" x14ac:dyDescent="0.25">
      <c r="B5" s="142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30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4" t="s">
        <v>97</v>
      </c>
      <c r="Y5" s="134" t="s">
        <v>98</v>
      </c>
      <c r="Z5" s="131" t="s">
        <v>99</v>
      </c>
      <c r="AA5" s="135" t="s">
        <v>100</v>
      </c>
    </row>
    <row r="6" spans="2:27" ht="15" x14ac:dyDescent="0.25">
      <c r="B6" s="180">
        <v>1</v>
      </c>
      <c r="C6" s="4" t="s">
        <v>142</v>
      </c>
      <c r="D6" s="4" t="s">
        <v>102</v>
      </c>
      <c r="E6" s="4" t="s">
        <v>143</v>
      </c>
      <c r="F6" s="4" t="s">
        <v>104</v>
      </c>
      <c r="G6" s="4" t="s">
        <v>106</v>
      </c>
      <c r="H6" s="165" t="s">
        <v>213</v>
      </c>
      <c r="I6" s="124">
        <v>45698</v>
      </c>
      <c r="K6" s="166">
        <v>126459.59</v>
      </c>
      <c r="L6" s="4">
        <v>44110000</v>
      </c>
      <c r="M6" s="1" t="s">
        <v>109</v>
      </c>
      <c r="N6">
        <v>102454</v>
      </c>
      <c r="O6" t="s">
        <v>144</v>
      </c>
      <c r="V6" s="8">
        <v>53973.8</v>
      </c>
      <c r="W6" s="8">
        <v>0</v>
      </c>
      <c r="X6" s="169"/>
      <c r="Y6" s="168"/>
      <c r="Z6" s="169"/>
      <c r="AA6" s="183"/>
    </row>
    <row r="7" spans="2:27" ht="15" x14ac:dyDescent="0.25">
      <c r="B7" s="181"/>
      <c r="C7" s="4" t="s">
        <v>142</v>
      </c>
      <c r="D7" s="4" t="s">
        <v>102</v>
      </c>
      <c r="E7" s="4" t="s">
        <v>143</v>
      </c>
      <c r="F7" s="4" t="s">
        <v>104</v>
      </c>
      <c r="G7" s="4" t="s">
        <v>106</v>
      </c>
      <c r="H7" s="167" t="s">
        <v>213</v>
      </c>
      <c r="I7" s="124">
        <v>45698</v>
      </c>
      <c r="K7" s="167">
        <v>126459.59</v>
      </c>
      <c r="L7" s="4">
        <v>34210000</v>
      </c>
      <c r="M7" s="1" t="s">
        <v>145</v>
      </c>
      <c r="N7">
        <v>104951</v>
      </c>
      <c r="O7" t="s">
        <v>146</v>
      </c>
      <c r="V7" s="8">
        <v>0</v>
      </c>
      <c r="W7" s="8">
        <v>12238.21</v>
      </c>
      <c r="X7" s="170"/>
      <c r="Y7" s="171"/>
      <c r="Z7" s="170"/>
      <c r="AA7" s="184"/>
    </row>
    <row r="8" spans="2:27" ht="15" x14ac:dyDescent="0.25">
      <c r="B8" s="181"/>
      <c r="C8" s="4" t="s">
        <v>142</v>
      </c>
      <c r="D8" s="4" t="s">
        <v>102</v>
      </c>
      <c r="E8" s="4" t="s">
        <v>143</v>
      </c>
      <c r="F8" s="4" t="s">
        <v>104</v>
      </c>
      <c r="G8" s="4" t="s">
        <v>106</v>
      </c>
      <c r="H8" s="167" t="s">
        <v>213</v>
      </c>
      <c r="I8" s="124">
        <v>45698</v>
      </c>
      <c r="K8" s="167">
        <v>126459.59</v>
      </c>
      <c r="L8" s="4">
        <v>34210000</v>
      </c>
      <c r="M8" s="1" t="s">
        <v>145</v>
      </c>
      <c r="N8">
        <v>104951</v>
      </c>
      <c r="O8" t="s">
        <v>146</v>
      </c>
      <c r="V8" s="8">
        <v>72485.789999999994</v>
      </c>
      <c r="W8" s="8">
        <v>0</v>
      </c>
      <c r="X8" s="170"/>
      <c r="Y8" s="171"/>
      <c r="Z8" s="170"/>
      <c r="AA8" s="184"/>
    </row>
    <row r="9" spans="2:27" ht="15.75" thickBot="1" x14ac:dyDescent="0.3">
      <c r="B9" s="181"/>
      <c r="C9" s="4" t="s">
        <v>142</v>
      </c>
      <c r="D9" s="4" t="s">
        <v>102</v>
      </c>
      <c r="E9" s="4" t="s">
        <v>143</v>
      </c>
      <c r="F9" s="4" t="s">
        <v>104</v>
      </c>
      <c r="G9" s="4" t="s">
        <v>106</v>
      </c>
      <c r="H9" s="167" t="s">
        <v>213</v>
      </c>
      <c r="I9" s="124">
        <v>45698</v>
      </c>
      <c r="K9" s="167">
        <v>126459.59</v>
      </c>
      <c r="L9" s="4">
        <v>34210000</v>
      </c>
      <c r="M9" s="1" t="s">
        <v>145</v>
      </c>
      <c r="N9">
        <v>104951</v>
      </c>
      <c r="O9" t="s">
        <v>146</v>
      </c>
      <c r="V9" s="8">
        <v>0</v>
      </c>
      <c r="W9" s="8">
        <v>114221.38</v>
      </c>
      <c r="X9" s="170"/>
      <c r="Y9" s="171"/>
      <c r="Z9" s="170"/>
      <c r="AA9" s="184"/>
    </row>
    <row r="10" spans="2:27" ht="15.75" thickTop="1" x14ac:dyDescent="0.25">
      <c r="B10" s="182">
        <v>2</v>
      </c>
      <c r="C10" s="173" t="s">
        <v>147</v>
      </c>
      <c r="D10" s="173" t="s">
        <v>102</v>
      </c>
      <c r="E10" s="173" t="s">
        <v>143</v>
      </c>
      <c r="F10" s="173" t="s">
        <v>104</v>
      </c>
      <c r="G10" s="173" t="s">
        <v>106</v>
      </c>
      <c r="H10" s="174" t="s">
        <v>216</v>
      </c>
      <c r="I10" s="175">
        <v>45698</v>
      </c>
      <c r="J10" s="172"/>
      <c r="K10" s="174">
        <v>1080698.57</v>
      </c>
      <c r="L10" s="173">
        <v>44110000</v>
      </c>
      <c r="M10" s="172" t="s">
        <v>109</v>
      </c>
      <c r="N10" s="176">
        <v>101276</v>
      </c>
      <c r="O10" s="176" t="s">
        <v>148</v>
      </c>
      <c r="P10" s="172"/>
      <c r="Q10" s="172"/>
      <c r="R10" s="172"/>
      <c r="S10" s="172"/>
      <c r="T10" s="172"/>
      <c r="U10" s="172"/>
      <c r="V10" s="177">
        <v>503344.43</v>
      </c>
      <c r="W10" s="177">
        <v>0</v>
      </c>
      <c r="X10" s="179"/>
      <c r="Y10" s="178"/>
      <c r="Z10" s="179"/>
      <c r="AA10" s="185"/>
    </row>
    <row r="11" spans="2:27" ht="15" x14ac:dyDescent="0.25">
      <c r="B11" s="181"/>
      <c r="C11" s="4" t="s">
        <v>147</v>
      </c>
      <c r="D11" s="4" t="s">
        <v>102</v>
      </c>
      <c r="E11" s="4" t="s">
        <v>143</v>
      </c>
      <c r="F11" s="4" t="s">
        <v>104</v>
      </c>
      <c r="G11" s="4" t="s">
        <v>106</v>
      </c>
      <c r="H11" s="167" t="s">
        <v>216</v>
      </c>
      <c r="I11" s="124">
        <v>45698</v>
      </c>
      <c r="K11" s="167">
        <v>1080698.57</v>
      </c>
      <c r="L11" s="4">
        <v>34210000</v>
      </c>
      <c r="M11" s="1" t="s">
        <v>145</v>
      </c>
      <c r="N11">
        <v>103089</v>
      </c>
      <c r="O11" t="s">
        <v>149</v>
      </c>
      <c r="V11" s="8">
        <v>0</v>
      </c>
      <c r="W11" s="8">
        <v>658514.94999999995</v>
      </c>
      <c r="X11" s="170"/>
      <c r="Y11" s="171"/>
      <c r="Z11" s="170"/>
      <c r="AA11" s="184"/>
    </row>
    <row r="12" spans="2:27" ht="15" x14ac:dyDescent="0.25">
      <c r="B12" s="181"/>
      <c r="C12" s="4" t="s">
        <v>147</v>
      </c>
      <c r="D12" s="4" t="s">
        <v>102</v>
      </c>
      <c r="E12" s="4" t="s">
        <v>143</v>
      </c>
      <c r="F12" s="4" t="s">
        <v>104</v>
      </c>
      <c r="G12" s="4" t="s">
        <v>106</v>
      </c>
      <c r="H12" s="167" t="s">
        <v>216</v>
      </c>
      <c r="I12" s="124">
        <v>45698</v>
      </c>
      <c r="K12" s="167">
        <v>1080698.57</v>
      </c>
      <c r="L12" s="4">
        <v>34210000</v>
      </c>
      <c r="M12" s="1" t="s">
        <v>145</v>
      </c>
      <c r="N12">
        <v>103089</v>
      </c>
      <c r="O12" t="s">
        <v>149</v>
      </c>
      <c r="V12" s="8">
        <v>577354.14</v>
      </c>
      <c r="W12" s="8">
        <v>0</v>
      </c>
      <c r="X12" s="170"/>
      <c r="Y12" s="171"/>
      <c r="Z12" s="170"/>
      <c r="AA12" s="184"/>
    </row>
    <row r="13" spans="2:27" ht="15.75" thickBot="1" x14ac:dyDescent="0.3">
      <c r="B13" s="186"/>
      <c r="C13" s="187" t="s">
        <v>147</v>
      </c>
      <c r="D13" s="187" t="s">
        <v>102</v>
      </c>
      <c r="E13" s="187" t="s">
        <v>143</v>
      </c>
      <c r="F13" s="187" t="s">
        <v>104</v>
      </c>
      <c r="G13" s="187" t="s">
        <v>106</v>
      </c>
      <c r="H13" s="188" t="s">
        <v>216</v>
      </c>
      <c r="I13" s="189">
        <v>45698</v>
      </c>
      <c r="J13" s="190"/>
      <c r="K13" s="191">
        <v>1080698.57</v>
      </c>
      <c r="L13" s="187">
        <v>34210000</v>
      </c>
      <c r="M13" s="190" t="s">
        <v>145</v>
      </c>
      <c r="N13" s="192">
        <v>103089</v>
      </c>
      <c r="O13" s="192" t="s">
        <v>149</v>
      </c>
      <c r="P13" s="190"/>
      <c r="Q13" s="190"/>
      <c r="R13" s="190"/>
      <c r="S13" s="190"/>
      <c r="T13" s="190"/>
      <c r="U13" s="190"/>
      <c r="V13" s="193">
        <v>0</v>
      </c>
      <c r="W13" s="193">
        <v>422183.62</v>
      </c>
      <c r="X13" s="194"/>
      <c r="Y13" s="195"/>
      <c r="Z13" s="194"/>
      <c r="AA13" s="196"/>
    </row>
    <row r="14" spans="2:27" ht="12.75" thickTop="1" x14ac:dyDescent="0.2"/>
  </sheetData>
  <mergeCells count="10">
    <mergeCell ref="B10:B13"/>
    <mergeCell ref="Y10:Y13"/>
    <mergeCell ref="Z10:Z13"/>
    <mergeCell ref="X10:X13"/>
    <mergeCell ref="AA10:AA13"/>
    <mergeCell ref="B6:B9"/>
    <mergeCell ref="Y6:Y9"/>
    <mergeCell ref="Z6:Z9"/>
    <mergeCell ref="X6:X9"/>
    <mergeCell ref="AA6:AA9"/>
  </mergeCells>
  <phoneticPr fontId="17" type="noConversion"/>
  <conditionalFormatting sqref="X6 X10 X14:X1048576">
    <cfRule type="containsText" dxfId="32" priority="3" operator="containsText" text="WRONG">
      <formula>NOT(ISERROR(SEARCH("WRONG",X6)))</formula>
    </cfRule>
    <cfRule type="containsText" dxfId="31" priority="4" operator="containsText" text="CORRECT">
      <formula>NOT(ISERROR(SEARCH("CORRECT",X6)))</formula>
    </cfRule>
  </conditionalFormatting>
  <dataValidations count="1">
    <dataValidation type="list" allowBlank="1" showInputMessage="1" showErrorMessage="1" sqref="X6 X10 X14:X1048576" xr:uid="{8EFEF4B4-A2ED-481D-BCFD-7DA56F06E8D6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6" sqref="J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28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24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7"/>
  <sheetViews>
    <sheetView showGridLines="0" workbookViewId="0">
      <pane ySplit="5" topLeftCell="A6" activePane="bottomLeft" state="frozen"/>
      <selection pane="bottomLeft" activeCell="I6" sqref="I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15.425781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28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2</v>
      </c>
      <c r="L3" s="29">
        <f>+SUM(Sample_AP[[#All],[Total Deb./Cred.]])</f>
        <v>1207158.1600000001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 t="s">
        <v>215</v>
      </c>
      <c r="C6" s="4" t="s">
        <v>147</v>
      </c>
      <c r="D6" s="4" t="s">
        <v>102</v>
      </c>
      <c r="E6" s="4" t="s">
        <v>143</v>
      </c>
      <c r="F6" s="4" t="s">
        <v>104</v>
      </c>
      <c r="G6" s="1" t="s">
        <v>105</v>
      </c>
      <c r="H6" s="4" t="s">
        <v>106</v>
      </c>
      <c r="I6" s="4" t="s">
        <v>216</v>
      </c>
      <c r="J6" s="124">
        <v>45698</v>
      </c>
      <c r="L6" s="8">
        <v>1080698.57</v>
      </c>
      <c r="M6" s="4" t="s">
        <v>41</v>
      </c>
    </row>
    <row r="7" spans="2:20" x14ac:dyDescent="0.2">
      <c r="B7" s="4" t="s">
        <v>212</v>
      </c>
      <c r="C7" s="4" t="s">
        <v>142</v>
      </c>
      <c r="D7" s="4" t="s">
        <v>102</v>
      </c>
      <c r="E7" s="4" t="s">
        <v>143</v>
      </c>
      <c r="F7" s="4" t="s">
        <v>104</v>
      </c>
      <c r="G7" s="1" t="s">
        <v>105</v>
      </c>
      <c r="H7" s="4" t="s">
        <v>106</v>
      </c>
      <c r="I7" s="4" t="s">
        <v>213</v>
      </c>
      <c r="J7" s="124">
        <v>45698</v>
      </c>
      <c r="L7" s="8">
        <v>126459.59</v>
      </c>
      <c r="M7" s="4" t="s">
        <v>41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2025-03-03T13:17:21Z</dcterms:modified>
</cp:coreProperties>
</file>