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7E1F4A4B-4DA2-42BF-A622-05ABE5A07F65}" xr6:coauthVersionLast="47" xr6:coauthVersionMax="47" xr10:uidLastSave="{00000000-0000-0000-0000-000000000000}"/>
  <bookViews>
    <workbookView xWindow="-120" yWindow="-120" windowWidth="28650" windowHeight="13305" tabRatio="791" activeTab="8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AR!$B$7:$L$8</definedName>
    <definedName name="ExternalData_1" localSheetId="2" hidden="1">'Clearings'!$B$5:$AM$6</definedName>
    <definedName name="ExternalData_1" localSheetId="10" hidden="1">Sample_AR!$B$5:$M$6</definedName>
    <definedName name="ExternalData_1" localSheetId="3" hidden="1">To_Analyze!$B$5:$M$6</definedName>
    <definedName name="ExternalData_2" localSheetId="6" hidden="1">AP!$B$7:$L$8</definedName>
    <definedName name="ExternalData_2" localSheetId="11" hidden="1">Sample_AP!$B$5:$M$6</definedName>
    <definedName name="ExternalData_2" localSheetId="4" hidden="1">Under_Control!$B$5:$M$6</definedName>
    <definedName name="ExternalData_3" localSheetId="8" hidden="1">'AR_To Analyze'!$C$5:$W$6</definedName>
    <definedName name="ExternalData_4" localSheetId="9" hidden="1">'AP_To Analyze'!$C$5:$W$6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M8" i="14" l="1"/>
  <c r="N6" i="12"/>
  <c r="C5" i="2" l="1"/>
  <c r="B5" i="2" s="1"/>
  <c r="L3" i="14" l="1"/>
  <c r="C8" i="9" s="1"/>
  <c r="L3" i="13"/>
  <c r="C7" i="9" s="1"/>
  <c r="M3" i="13"/>
  <c r="H7" i="9" s="1"/>
  <c r="I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8" i="9" l="1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<sst xmlns="http://schemas.openxmlformats.org/spreadsheetml/2006/main" count="317" uniqueCount="89">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</sst>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4" dataDxfId="242" headerRowBorderDxfId="243" tableBorderDxfId="241" totalsRowBorderDxfId="240">
  <autoFilter ref="B4:AM5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5"/>
  <sheetViews>
    <sheetView showGridLines="0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" s="5" t="str">
        <f>+CONCATENATE(ZEUFI037[[#This Row],[Type]],"-",ZEUFI037[[#This Row],[TCode]],"-",ZEUFI037[[#This Row],[G/L Account]])</f>
        <v>--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16"/>
      <c r="N5" s="116"/>
      <c r="O5" s="11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6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56" t="s">
        <v>43</v>
      </c>
      <c r="C6" s="4" t="s">
        <v>54</v>
      </c>
      <c r="D6" s="4" t="s">
        <v>55</v>
      </c>
      <c r="E6" s="4"/>
      <c r="F6" s="4"/>
      <c r="G6" s="4"/>
      <c r="H6" s="4"/>
      <c r="J6" s="4"/>
      <c r="L6" s="156"/>
      <c r="M6" s="119"/>
      <c r="N6" s="119"/>
      <c r="O6" s="119"/>
      <c r="S6" s="157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9"/>
      <c r="M6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55</v>
      </c>
      <c r="D6" s="4"/>
      <c r="E6" s="4"/>
      <c r="F6" s="4"/>
      <c r="G6" s="4"/>
      <c r="I6" s="4"/>
      <c r="J6" s="4"/>
      <c r="K6" s="119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8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8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0</v>
      </c>
      <c r="D7" s="54">
        <f>+IFERROR(C7/$C$9,0)</f>
        <v>0</v>
      </c>
      <c r="E7" s="55">
        <f>+AR!L5</f>
        <v>0</v>
      </c>
      <c r="F7" s="71">
        <f>+IFERROR(E7/$E$9,0)</f>
        <v>0</v>
      </c>
      <c r="G7" s="43"/>
      <c r="H7" s="89">
        <f>+AR!M3</f>
        <v>0</v>
      </c>
      <c r="I7" s="54">
        <f>+IFERROR(H7/$C7,0)</f>
        <v>0</v>
      </c>
      <c r="J7" s="62">
        <f>+AR!M5</f>
        <v>0</v>
      </c>
      <c r="K7" s="82">
        <f>+IFERROR(J7/$E7,0)</f>
        <v>0</v>
      </c>
      <c r="M7" s="81">
        <f>+C7-H7</f>
        <v>0</v>
      </c>
      <c r="N7" s="54">
        <f>+IFERROR(M7/C7,0)</f>
        <v>0</v>
      </c>
      <c r="O7" s="62">
        <f>+E7-J7</f>
        <v>0</v>
      </c>
      <c r="P7" s="82">
        <f>+IFERROR(O7/$E7,0)</f>
        <v>0</v>
      </c>
    </row>
    <row r="8" spans="2:16" ht="18.600000000000001" customHeight="1" x14ac:dyDescent="0.2">
      <c r="B8" s="72" t="s">
        <v>74</v>
      </c>
      <c r="C8" s="59">
        <f>+AP!L3</f>
        <v>0</v>
      </c>
      <c r="D8" s="60">
        <f>+IFERROR(C8/$C$9,0)</f>
        <v>0</v>
      </c>
      <c r="E8" s="61">
        <f>+AP!L5</f>
        <v>0</v>
      </c>
      <c r="F8" s="73">
        <f>+IFERROR(E8/$E$9,0)</f>
        <v>0</v>
      </c>
      <c r="G8" s="43"/>
      <c r="H8" s="90">
        <f>+AP!M3</f>
        <v>0</v>
      </c>
      <c r="I8" s="60">
        <f>+IFERROR(H8/$C8,0)</f>
        <v>0</v>
      </c>
      <c r="J8" s="64">
        <f>+AP!M5</f>
        <v>0</v>
      </c>
      <c r="K8" s="84">
        <f>+IFERROR(J8/$E8,0)</f>
        <v>0</v>
      </c>
      <c r="L8" s="44"/>
      <c r="M8" s="83">
        <f>+C8-H8</f>
        <v>0</v>
      </c>
      <c r="N8" s="60">
        <f>+IFERROR(M8/C8,0)</f>
        <v>0</v>
      </c>
      <c r="O8" s="64">
        <f>+E8-J8</f>
        <v>0</v>
      </c>
      <c r="P8" s="84">
        <f>+IFERROR(O8/$E8,0)</f>
        <v>0</v>
      </c>
    </row>
    <row r="9" spans="2:16" s="3" customFormat="1" ht="18.600000000000001" customHeight="1" thickBot="1" x14ac:dyDescent="0.25">
      <c r="B9" s="74" t="s">
        <v>75</v>
      </c>
      <c r="C9" s="75">
        <f>SUM(C7:C8)</f>
        <v>0</v>
      </c>
      <c r="D9" s="76">
        <f>+IFERROR(C9/$C$11,0)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>
        <f>+IFERROR(H9/$C9,0)</f>
        <v>0</v>
      </c>
      <c r="J9" s="99">
        <f>SUM(J7:J8)</f>
        <v>0</v>
      </c>
      <c r="K9" s="100">
        <f>+IFERROR(J9/$E9,0)</f>
        <v>0</v>
      </c>
      <c r="L9" s="44"/>
      <c r="M9" s="85">
        <f>SUM(M7:M8)</f>
        <v>0</v>
      </c>
      <c r="N9" s="86">
        <f>+IFERROR(M9/C9,0)</f>
        <v>0</v>
      </c>
      <c r="O9" s="87">
        <f>SUM(O7:O8)</f>
        <v>0</v>
      </c>
      <c r="P9" s="88">
        <f>+IFERROR(O9/$E9,0)</f>
        <v>0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1</v>
      </c>
      <c r="D11" s="50" t="s">
        <v>72</v>
      </c>
      <c r="E11" s="51">
        <f>+E9+E6</f>
        <v>0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6"/>
  <sheetViews>
    <sheetView showGridLines="0" tabSelected="1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9.7109375" style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6.42578125" style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7.710937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15" style="1" customWidth="1"/>
    <col min="20" max="20" width="21.140625" style="1" customWidth="1"/>
    <col min="21" max="21" width="19.140625" style="1" bestFit="1" customWidth="1"/>
    <col min="22" max="22" width="19.8554687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0</v>
      </c>
      <c r="S3" s="29">
        <f>+SUM(AR_To_Analyze[[#All],[   Debit amount]])</f>
        <v>0</v>
      </c>
      <c r="T3" s="29">
        <f>+SUM(AR_To_Analyze[[#All],[  Credit amount]])</f>
        <v>0</v>
      </c>
      <c r="U3" s="29"/>
      <c r="V3" s="29"/>
      <c r="W3" s="29"/>
      <c r="X3" s="134"/>
    </row>
    <row r="4" spans="2:27" ht="4.1500000000000004" customHeight="1" thickBot="1" x14ac:dyDescent="0.25"/>
    <row r="5" spans="2:27" ht="31.5" customHeight="1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43"/>
      <c r="Y6" s="135"/>
      <c r="Z6" s="132"/>
      <c r="AA6" s="135"/>
    </row>
  </sheetData>
  <phoneticPr fontId="17" type="noConversion"/>
  <conditionalFormatting sqref="X6:X1048576">
    <cfRule type="containsText" dxfId="117" priority="1" operator="containsText" text="WRONG">
      <formula>NOT(ISERROR(SEARCH("WRONG",X6)))</formula>
    </cfRule>
    <cfRule type="containsText" dxfId="11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6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13.85546875" style="1" bestFit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0.42578125" style="1" bestFit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5.2851562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25.85546875" style="1" customWidth="1"/>
    <col min="20" max="20" width="22.5703125" style="1" customWidth="1"/>
    <col min="21" max="21" width="19.140625" style="1" bestFit="1" customWidth="1"/>
    <col min="22" max="22" width="19.85546875" style="1" bestFit="1" customWidth="1"/>
    <col min="23" max="23" width="12.2851562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0</v>
      </c>
      <c r="S3" s="29">
        <f>+SUM(AP_To_Analyze[[#All],[   Debit amount]])</f>
        <v>0</v>
      </c>
      <c r="T3" s="29">
        <f>+SUM(AP_To_Analyze[[#All],[  Credit amount]])</f>
        <v>0</v>
      </c>
      <c r="U3" s="29"/>
      <c r="V3" s="29"/>
      <c r="W3" s="131"/>
      <c r="X3" s="134"/>
    </row>
    <row r="4" spans="2:27" ht="12.75" thickBot="1" x14ac:dyDescent="0.25"/>
    <row r="5" spans="2:27" ht="25.5" customHeight="1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132"/>
      <c r="Y6" s="135"/>
      <c r="Z6" s="132"/>
      <c r="AA6" s="135"/>
    </row>
  </sheetData>
  <phoneticPr fontId="17" type="noConversion"/>
  <conditionalFormatting sqref="X6:X1048576">
    <cfRule type="containsText" dxfId="92" priority="1" operator="containsText" text="WRONG">
      <formula>NOT(ISERROR(SEARCH("WRONG",X6)))</formula>
    </cfRule>
    <cfRule type="containsText" dxfId="91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6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6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2025-03-12T10:46:47Z</dcterms:modified>
  <cp:category/>
  <cp:contentStatus/>
</cp:coreProperties>
</file>